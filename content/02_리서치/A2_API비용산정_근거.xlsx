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상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444444"/>
      <sz val="10"/>
    </font>
    <font>
      <name val="맑은 고딕"/>
      <b val="1"/>
      <color rgb="00C00000"/>
      <sz val="10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EEF3FB"/>
      </patternFill>
    </fill>
    <fill>
      <patternFill patternType="solid">
        <fgColor rgb="00FFF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4" fontId="0" fillId="0" borderId="0" pivotButton="0" quotePrefix="0" xfId="0"/>
    <xf numFmtId="3" fontId="0" fillId="0" borderId="0" pivotButton="0" quotePrefix="0" xfId="0"/>
    <xf numFmtId="0" fontId="7" fillId="7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4" customWidth="1" min="4" max="4"/>
    <col width="15" customWidth="1" min="5" max="5"/>
    <col width="20" customWidth="1" min="6" max="6"/>
    <col width="14" customWidth="1" min="7" max="7"/>
    <col width="18" customWidth="1" min="8" max="8"/>
  </cols>
  <sheetData>
    <row r="1" ht="22" customHeight="1">
      <c r="A1" s="1" t="inlineStr">
        <is>
          <t>KX_A2팀 · 1개월 예상 비용 (청구용)</t>
        </is>
      </c>
    </row>
    <row r="3">
      <c r="A3" s="2" t="inlineStr">
        <is>
          <t>■ 가정 (Assumptions)</t>
        </is>
      </c>
    </row>
    <row r="4">
      <c r="A4" s="3" t="inlineStr">
        <is>
          <t>환율 (KRW/USD)</t>
        </is>
      </c>
      <c r="B4" s="4" t="n">
        <v>1550</v>
      </c>
      <c r="C4" s="5" t="inlineStr">
        <is>
          <t>← 제출 시점 환율로 갱신</t>
        </is>
      </c>
    </row>
    <row r="5">
      <c r="A5" s="3" t="inlineStr">
        <is>
          <t>청구 기간</t>
        </is>
      </c>
      <c r="B5" s="5" t="inlineStr">
        <is>
          <t>1개월</t>
        </is>
      </c>
    </row>
    <row r="7">
      <c r="A7" s="2" t="inlineStr">
        <is>
          <t>① 고정 구독 (월 정액)</t>
        </is>
      </c>
    </row>
    <row r="8">
      <c r="A8" s="6" t="inlineStr">
        <is>
          <t>항목</t>
        </is>
      </c>
      <c r="B8" s="6" t="inlineStr">
        <is>
          <t>단가(USD/월)</t>
        </is>
      </c>
      <c r="C8" s="6" t="inlineStr">
        <is>
          <t>인원·좌석</t>
        </is>
      </c>
      <c r="D8" s="6" t="inlineStr">
        <is>
          <t>합계(USD)</t>
        </is>
      </c>
      <c r="E8" s="6" t="inlineStr">
        <is>
          <t>합계(KRW)</t>
        </is>
      </c>
      <c r="F8" s="6" t="inlineStr">
        <is>
          <t>비고</t>
        </is>
      </c>
      <c r="G8" s="6" t="inlineStr"/>
      <c r="H8" s="6" t="inlineStr"/>
    </row>
    <row r="9">
      <c r="A9" s="3" t="inlineStr">
        <is>
          <t>Figma Professional (월간)</t>
        </is>
      </c>
      <c r="B9" s="5" t="n">
        <v>20</v>
      </c>
      <c r="C9" s="5" t="n">
        <v>2</v>
      </c>
      <c r="D9" s="7">
        <f>B9*C9</f>
        <v/>
      </c>
      <c r="E9" s="4">
        <f>D9*$B$4</f>
        <v/>
      </c>
      <c r="F9" s="5" t="inlineStr">
        <is>
          <t>FE 1인 + UX/UI 1인</t>
        </is>
      </c>
    </row>
    <row r="10">
      <c r="A10" s="3" t="inlineStr">
        <is>
          <t>Vercel Pro</t>
        </is>
      </c>
      <c r="B10" s="5" t="n">
        <v>20</v>
      </c>
      <c r="C10" s="5" t="n">
        <v>1</v>
      </c>
      <c r="D10" s="7">
        <f>B10*C10</f>
        <v/>
      </c>
      <c r="E10" s="4">
        <f>D10*$B$4</f>
        <v/>
      </c>
      <c r="F10" s="5" t="inlineStr">
        <is>
          <t>FE 1인</t>
        </is>
      </c>
    </row>
    <row r="11">
      <c r="A11" s="3" t="inlineStr">
        <is>
          <t>AWS (EC2·S3 예비 예산)</t>
        </is>
      </c>
      <c r="B11" s="5" t="n">
        <v>30</v>
      </c>
      <c r="C11" s="5" t="n">
        <v>1</v>
      </c>
      <c r="D11" s="7">
        <f>B11*C11</f>
        <v/>
      </c>
      <c r="E11" s="4">
        <f>D11*$B$4</f>
        <v/>
      </c>
      <c r="F11" s="5" t="inlineStr">
        <is>
          <t>Free Tier 만료 대비 고정 예비 예산</t>
        </is>
      </c>
    </row>
    <row r="12">
      <c r="A12" s="3" t="inlineStr">
        <is>
          <t>Claude Code Pro × 6명</t>
        </is>
      </c>
      <c r="B12" s="5" t="n">
        <v>20</v>
      </c>
      <c r="C12" s="5" t="n">
        <v>6</v>
      </c>
      <c r="D12" s="7">
        <f>B12*C12</f>
        <v/>
      </c>
      <c r="E12" s="4">
        <f>D12*$B$4</f>
        <v/>
      </c>
      <c r="F12" s="5" t="inlineStr">
        <is>
          <t>Pro $20/유저</t>
        </is>
      </c>
    </row>
    <row r="13">
      <c r="A13" s="8" t="inlineStr">
        <is>
          <t>고정 소계</t>
        </is>
      </c>
      <c r="B13" s="9" t="n"/>
      <c r="C13" s="9" t="n"/>
      <c r="D13" s="10">
        <f>SUM(D9:D12)</f>
        <v/>
      </c>
      <c r="E13" s="11">
        <f>D13*$B$4</f>
        <v/>
      </c>
    </row>
    <row r="15">
      <c r="A15" s="2" t="inlineStr">
        <is>
          <t>② 사용량 기반 API — 프롬프트 생성 (Claude Sonnet)</t>
        </is>
      </c>
    </row>
    <row r="16">
      <c r="A16" s="6" t="inlineStr">
        <is>
          <t>항목</t>
        </is>
      </c>
      <c r="B16" s="6" t="inlineStr">
        <is>
          <t>호출수</t>
        </is>
      </c>
      <c r="C16" s="6" t="inlineStr">
        <is>
          <t>입력토큰/회</t>
        </is>
      </c>
      <c r="D16" s="6" t="inlineStr">
        <is>
          <t>출력토큰/회</t>
        </is>
      </c>
      <c r="E16" s="6" t="inlineStr">
        <is>
          <t>입력단가($/1M)</t>
        </is>
      </c>
      <c r="F16" s="6" t="inlineStr">
        <is>
          <t>출력단가($/1M)</t>
        </is>
      </c>
      <c r="G16" s="6" t="inlineStr">
        <is>
          <t>합계(USD)</t>
        </is>
      </c>
      <c r="H16" s="6" t="inlineStr">
        <is>
          <t>합계(KRW)</t>
        </is>
      </c>
    </row>
    <row r="17">
      <c r="A17" s="3" t="inlineStr">
        <is>
          <t>Claude Sonnet — 프롬프트 보조 (F001)</t>
        </is>
      </c>
      <c r="B17" s="5" t="n">
        <v>350</v>
      </c>
      <c r="C17" s="5" t="n">
        <v>2000</v>
      </c>
      <c r="D17" s="5" t="n">
        <v>600</v>
      </c>
      <c r="E17" s="5" t="n">
        <v>3</v>
      </c>
      <c r="F17" s="5" t="n">
        <v>15</v>
      </c>
      <c r="G17" s="7">
        <f>B17*(C17*E17+D17*F17)/1000000</f>
        <v/>
      </c>
      <c r="H17" s="4">
        <f>G17*$B$4</f>
        <v/>
      </c>
    </row>
    <row r="18">
      <c r="A18" s="8" t="inlineStr">
        <is>
          <t>Claude API 소계</t>
        </is>
      </c>
      <c r="B18" s="9" t="n"/>
      <c r="C18" s="9" t="n"/>
      <c r="D18" s="9" t="n"/>
      <c r="E18" s="9" t="n"/>
      <c r="F18" s="9" t="n"/>
      <c r="G18" s="10">
        <f>SUM(G17:G17)</f>
        <v/>
      </c>
      <c r="H18" s="11">
        <f>G18*$B$4</f>
        <v/>
      </c>
    </row>
    <row r="20">
      <c r="A20" s="2" t="inlineStr">
        <is>
          <t>③ 사용량 기반 — 이미지 생성 (GPT Image 2, quality: medium)</t>
        </is>
      </c>
    </row>
    <row r="21">
      <c r="A21" s="6" t="inlineStr">
        <is>
          <t>항목</t>
        </is>
      </c>
      <c r="B21" s="6" t="inlineStr">
        <is>
          <t>이미지 수</t>
        </is>
      </c>
      <c r="C21" s="6" t="inlineStr">
        <is>
          <t>단가/장(USD)</t>
        </is>
      </c>
      <c r="D21" s="6" t="inlineStr">
        <is>
          <t>합계(USD)</t>
        </is>
      </c>
      <c r="E21" s="6" t="inlineStr">
        <is>
          <t>합계(KRW)</t>
        </is>
      </c>
      <c r="F21" s="6" t="inlineStr">
        <is>
          <t>비고</t>
        </is>
      </c>
      <c r="G21" s="6" t="inlineStr"/>
      <c r="H21" s="6" t="inlineStr"/>
    </row>
    <row r="22">
      <c r="A22" s="3" t="inlineStr">
        <is>
          <t>GPT Image 2 — 단일 이미지 (F001)</t>
        </is>
      </c>
      <c r="B22" s="5" t="n">
        <v>120</v>
      </c>
      <c r="C22" s="5" t="n">
        <v>0.042</v>
      </c>
      <c r="D22" s="7">
        <f>B22*C22</f>
        <v/>
      </c>
      <c r="E22" s="4">
        <f>D22*$B$4</f>
        <v/>
      </c>
      <c r="F22" s="5" t="inlineStr">
        <is>
          <t>이미지 생성 테스트+데모</t>
        </is>
      </c>
    </row>
    <row r="23">
      <c r="A23" s="8" t="inlineStr">
        <is>
          <t>이미지 소계</t>
        </is>
      </c>
      <c r="B23" s="9" t="n"/>
      <c r="C23" s="9" t="n"/>
      <c r="D23" s="10">
        <f>SUM(D22:D22)</f>
        <v/>
      </c>
      <c r="E23" s="11">
        <f>D23*$B$4</f>
        <v/>
      </c>
    </row>
    <row r="25">
      <c r="A25" s="2" t="inlineStr">
        <is>
          <t>④ 사용량 기반 — 영상 생성 (fal.ai / 1세트 = 1클립)</t>
        </is>
      </c>
    </row>
    <row r="26">
      <c r="A26" s="12" t="inlineStr">
        <is>
          <t xml:space="preserve">  ℹ  흐름: [B팀] 9그리드 스토리보드 + shot1~9 프롬프트 제공  →  [A2팀] 영상 생성 API  →  클립 1개 출력</t>
        </is>
      </c>
    </row>
    <row r="27">
      <c r="A27" s="6" t="inlineStr">
        <is>
          <t>항목</t>
        </is>
      </c>
      <c r="B27" s="6" t="inlineStr">
        <is>
          <t>단가($/초)</t>
        </is>
      </c>
      <c r="C27" s="6" t="inlineStr">
        <is>
          <t>세트 수</t>
        </is>
      </c>
      <c r="D27" s="6" t="inlineStr">
        <is>
          <t>초/클립</t>
        </is>
      </c>
      <c r="E27" s="6" t="inlineStr">
        <is>
          <t>총 초</t>
        </is>
      </c>
      <c r="F27" s="6" t="inlineStr">
        <is>
          <t>합계(USD)</t>
        </is>
      </c>
      <c r="G27" s="6" t="inlineStr">
        <is>
          <t>합계(KRW)</t>
        </is>
      </c>
      <c r="H27" s="6" t="inlineStr">
        <is>
          <t>비고</t>
        </is>
      </c>
    </row>
    <row r="28">
      <c r="A28" s="3" t="inlineStr">
        <is>
          <t>fal.ai Kling — 개발 테스트 (5초/클립)</t>
        </is>
      </c>
      <c r="B28" s="5" t="n">
        <v>0.11</v>
      </c>
      <c r="C28" s="5" t="n">
        <v>8</v>
      </c>
      <c r="D28" s="5" t="n">
        <v>5</v>
      </c>
      <c r="E28" s="5">
        <f>C28*D28</f>
        <v/>
      </c>
      <c r="F28" s="7">
        <f>B28*E28</f>
        <v/>
      </c>
      <c r="G28" s="4">
        <f>F28*$B$4</f>
        <v/>
      </c>
      <c r="H28" s="5" t="inlineStr">
        <is>
          <t>1~4주차 / BE 주 2회 × 4주</t>
        </is>
      </c>
    </row>
    <row r="29">
      <c r="A29" s="3" t="inlineStr">
        <is>
          <t>fal.ai Seedance 2.0 — 2주차 품질 확인 (5초/클립)</t>
        </is>
      </c>
      <c r="B29" s="5" t="n">
        <v>0.3034</v>
      </c>
      <c r="C29" s="5" t="n">
        <v>10</v>
      </c>
      <c r="D29" s="5" t="n">
        <v>5</v>
      </c>
      <c r="E29" s="5">
        <f>C29*D29</f>
        <v/>
      </c>
      <c r="F29" s="7">
        <f>B29*E29</f>
        <v/>
      </c>
      <c r="G29" s="4">
        <f>F29*$B$4</f>
        <v/>
      </c>
      <c r="H29" s="5" t="inlineStr">
        <is>
          <t>BE 연동 3+품질 3+PM확인 2+리허설 1+데모 1</t>
        </is>
      </c>
    </row>
    <row r="30">
      <c r="A30" s="3" t="inlineStr">
        <is>
          <t>fal.ai Seedance 2.0 — 3주차 품질 확인 (10초/클립)</t>
        </is>
      </c>
      <c r="B30" s="5" t="n">
        <v>0.3034</v>
      </c>
      <c r="C30" s="5" t="n">
        <v>6</v>
      </c>
      <c r="D30" s="5" t="n">
        <v>10</v>
      </c>
      <c r="E30" s="5">
        <f>C30*D30</f>
        <v/>
      </c>
      <c r="F30" s="7">
        <f>B30*E30</f>
        <v/>
      </c>
      <c r="G30" s="4">
        <f>F30*$B$4</f>
        <v/>
      </c>
      <c r="H30" s="5" t="inlineStr">
        <is>
          <t>BE 품질조정 3+PM검수 2+팀리뷰 1</t>
        </is>
      </c>
    </row>
    <row r="31">
      <c r="A31" s="3" t="inlineStr">
        <is>
          <t>fal.ai Seedance 2.0 — 4주차 최종 출력 (15초/클립)</t>
        </is>
      </c>
      <c r="B31" s="5" t="n">
        <v>0.3034</v>
      </c>
      <c r="C31" s="5" t="n">
        <v>7</v>
      </c>
      <c r="D31" s="5" t="n">
        <v>15</v>
      </c>
      <c r="E31" s="5">
        <f>C31*D31</f>
        <v/>
      </c>
      <c r="F31" s="7">
        <f>B31*E31</f>
        <v/>
      </c>
      <c r="G31" s="4">
        <f>F31*$B$4</f>
        <v/>
      </c>
      <c r="H31" s="5" t="inlineStr">
        <is>
          <t>BE확인 2+PM검수 2+리허설 1+최종발표 2</t>
        </is>
      </c>
    </row>
    <row r="32">
      <c r="A32" s="8" t="inlineStr">
        <is>
          <t>영상 소계</t>
        </is>
      </c>
      <c r="B32" s="9" t="n"/>
      <c r="C32" s="9" t="n"/>
      <c r="D32" s="9" t="n"/>
      <c r="E32" s="9" t="n"/>
      <c r="F32" s="10">
        <f>SUM(F28:F31)</f>
        <v/>
      </c>
      <c r="G32" s="11">
        <f>F32*$B$4</f>
        <v/>
      </c>
    </row>
    <row r="33">
      <c r="A33" s="13" t="inlineStr">
        <is>
          <t xml:space="preserve">  ★ fal.ai Hard Limit 권장 $100 설정 (Billing &gt; Spend Limit)</t>
        </is>
      </c>
    </row>
    <row r="35">
      <c r="A35" s="2" t="inlineStr">
        <is>
          <t>⑤ 사용량 기반 — 이미지 분석 &amp; 품질 비교 (Vision API)</t>
        </is>
      </c>
    </row>
    <row r="36">
      <c r="A36" s="12" t="inlineStr">
        <is>
          <t xml:space="preserve">  ℹ  GPT-4o: 역프롬프트 이미지 분석 (F004) | Grok 2 Vision · Gemini 2.5 Flash: 생성 결과물 품질 자동 평가</t>
        </is>
      </c>
    </row>
    <row r="37">
      <c r="A37" s="6" t="inlineStr">
        <is>
          <t>항목</t>
        </is>
      </c>
      <c r="B37" s="6" t="inlineStr">
        <is>
          <t>호출수</t>
        </is>
      </c>
      <c r="C37" s="6" t="inlineStr">
        <is>
          <t>입력토큰/회</t>
        </is>
      </c>
      <c r="D37" s="6" t="inlineStr">
        <is>
          <t>출력토큰/회</t>
        </is>
      </c>
      <c r="E37" s="6" t="inlineStr">
        <is>
          <t>입력단가($/1M)</t>
        </is>
      </c>
      <c r="F37" s="6" t="inlineStr">
        <is>
          <t>출력단가($/1M)</t>
        </is>
      </c>
      <c r="G37" s="6" t="inlineStr">
        <is>
          <t>합계(USD)</t>
        </is>
      </c>
      <c r="H37" s="6" t="inlineStr">
        <is>
          <t>합계(KRW)</t>
        </is>
      </c>
    </row>
    <row r="38">
      <c r="A38" s="3" t="inlineStr">
        <is>
          <t>GPT-4o Vision — 이미지 분석/역프롬프트 (F004)</t>
        </is>
      </c>
      <c r="B38" s="5" t="n">
        <v>100</v>
      </c>
      <c r="C38" s="5" t="n">
        <v>1500</v>
      </c>
      <c r="D38" s="5" t="n">
        <v>500</v>
      </c>
      <c r="E38" s="5" t="n">
        <v>2.5</v>
      </c>
      <c r="F38" s="5" t="n">
        <v>10</v>
      </c>
      <c r="G38" s="7">
        <f>B38*(C38*E38+D38*F38)/1000000</f>
        <v/>
      </c>
      <c r="H38" s="4">
        <f>G38*$B$4</f>
        <v/>
      </c>
    </row>
    <row r="39">
      <c r="A39" s="3" t="inlineStr">
        <is>
          <t>Grok 2 Vision — 품질 비교 (xAI 직접 API)</t>
        </is>
      </c>
      <c r="B39" s="5" t="n">
        <v>50</v>
      </c>
      <c r="C39" s="5" t="n">
        <v>2500</v>
      </c>
      <c r="D39" s="5" t="n">
        <v>300</v>
      </c>
      <c r="E39" s="5" t="n">
        <v>2</v>
      </c>
      <c r="F39" s="5" t="n">
        <v>10</v>
      </c>
      <c r="G39" s="7">
        <f>B39*(C39*E39+D39*F39)/1000000</f>
        <v/>
      </c>
      <c r="H39" s="4">
        <f>G39*$B$4</f>
        <v/>
      </c>
    </row>
    <row r="40">
      <c r="A40" s="3" t="inlineStr">
        <is>
          <t>Gemini 2.5 Flash — 품질 비교 (Google AI)</t>
        </is>
      </c>
      <c r="B40" s="5" t="n">
        <v>50</v>
      </c>
      <c r="C40" s="5" t="n">
        <v>2500</v>
      </c>
      <c r="D40" s="5" t="n">
        <v>300</v>
      </c>
      <c r="E40" s="5" t="n">
        <v>0.3</v>
      </c>
      <c r="F40" s="5" t="n">
        <v>2.5</v>
      </c>
      <c r="G40" s="7">
        <f>B40*(C40*E40+D40*F40)/1000000</f>
        <v/>
      </c>
      <c r="H40" s="4">
        <f>G40*$B$4</f>
        <v/>
      </c>
    </row>
    <row r="41">
      <c r="A41" s="8" t="inlineStr">
        <is>
          <t>Vision API 소계</t>
        </is>
      </c>
      <c r="B41" s="9" t="n"/>
      <c r="C41" s="9" t="n"/>
      <c r="D41" s="9" t="n"/>
      <c r="E41" s="9" t="n"/>
      <c r="F41" s="9" t="n"/>
      <c r="G41" s="10">
        <f>SUM(G38:G40)</f>
        <v/>
      </c>
      <c r="H41" s="11">
        <f>G41*$B$4</f>
        <v/>
      </c>
    </row>
    <row r="43">
      <c r="A43" s="2" t="inlineStr">
        <is>
          <t>■ 요약</t>
        </is>
      </c>
    </row>
    <row r="44">
      <c r="A44" s="6" t="inlineStr">
        <is>
          <t>항목</t>
        </is>
      </c>
      <c r="B44" s="6" t="inlineStr">
        <is>
          <t>USD</t>
        </is>
      </c>
      <c r="C44" s="6" t="inlineStr">
        <is>
          <t>KRW</t>
        </is>
      </c>
      <c r="D44" s="6" t="inlineStr"/>
      <c r="E44" s="6" t="inlineStr"/>
      <c r="F44" s="6" t="inlineStr"/>
      <c r="G44" s="6" t="inlineStr"/>
      <c r="H44" s="6" t="inlineStr"/>
    </row>
    <row r="45">
      <c r="A45" s="3" t="inlineStr">
        <is>
          <t>① 고정 구독 소계</t>
        </is>
      </c>
      <c r="B45" s="14">
        <f>D13</f>
        <v/>
      </c>
      <c r="C45" s="15">
        <f>E13</f>
        <v/>
      </c>
    </row>
    <row r="46">
      <c r="A46" s="3" t="inlineStr">
        <is>
          <t>②③④⑤ API 소계</t>
        </is>
      </c>
      <c r="B46" s="14">
        <f>G18+D23+F32+G41</f>
        <v/>
      </c>
      <c r="C46" s="15">
        <f>B46*$B$4</f>
        <v/>
      </c>
    </row>
    <row r="47" ht="18" customHeight="1">
      <c r="A47" s="16" t="inlineStr">
        <is>
          <t>★ 총 합계</t>
        </is>
      </c>
      <c r="B47" s="17">
        <f>D13+B46</f>
        <v/>
      </c>
      <c r="C47" s="18">
        <f>B47*$B$4</f>
        <v/>
      </c>
      <c r="D47" s="19" t="n"/>
      <c r="E47" s="19" t="n"/>
      <c r="F47" s="19" t="n"/>
      <c r="G47" s="19" t="n"/>
      <c r="H47" s="19" t="n"/>
    </row>
  </sheetData>
  <mergeCells count="11">
    <mergeCell ref="A3:H3"/>
    <mergeCell ref="A26:H26"/>
    <mergeCell ref="A15:H15"/>
    <mergeCell ref="A7:H7"/>
    <mergeCell ref="A25:H25"/>
    <mergeCell ref="A20:H20"/>
    <mergeCell ref="A35:H35"/>
    <mergeCell ref="A43:H43"/>
    <mergeCell ref="A33:H33"/>
    <mergeCell ref="A36:H3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2026-07-01T03:56:10Z</dcterms:created>
  <dcterms:modified xmlns:dcterms="http://purl.org/dc/terms/" xmlns:xsi="http://www.w3.org/2001/XMLSchema-instance" xsi:type="dcterms:W3CDTF">2026-07-01T03:56:10Z</dcterms:modified>
</cp:coreProperties>
</file>