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상비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color rgb="00888888"/>
      <sz val="11"/>
    </font>
    <font>
      <name val="맑은 고딕"/>
      <color rgb="00444444"/>
      <sz val="10"/>
    </font>
    <font>
      <name val="맑은 고딕"/>
      <b val="1"/>
      <color rgb="00C00000"/>
      <sz val="10"/>
    </font>
    <font>
      <name val="맑은 고딕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EEF3FB"/>
      </patternFill>
    </fill>
    <fill>
      <patternFill patternType="solid">
        <fgColor rgb="00FFF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4" fontId="0" fillId="0" borderId="0" pivotButton="0" quotePrefix="0" xfId="0"/>
    <xf numFmtId="3" fontId="0" fillId="0" borderId="0" pivotButton="0" quotePrefix="0" xfId="0"/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4" fontId="8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6.5"/>
  <cols>
    <col width="30" customWidth="1" min="1" max="1"/>
    <col width="14" customWidth="1" min="2" max="2"/>
    <col width="13" customWidth="1" min="3" max="3"/>
    <col width="14" customWidth="1" min="4" max="4"/>
    <col width="15" customWidth="1" min="5" max="5"/>
    <col width="26" customWidth="1" min="6" max="6"/>
    <col width="14" customWidth="1" min="7" max="7"/>
    <col width="15" customWidth="1" min="8" max="8"/>
  </cols>
  <sheetData>
    <row r="1" ht="21" customHeight="1">
      <c r="A1" s="1" t="inlineStr">
        <is>
          <t>KX_A2 · 1개월 예상 비용 (청구용) — Claude Code Option B: Max×4+Pro×2</t>
        </is>
      </c>
    </row>
    <row r="3" ht="16.5" customHeight="1">
      <c r="A3" s="2" t="inlineStr">
        <is>
          <t>■ 가정 (Assumptions)</t>
        </is>
      </c>
    </row>
    <row r="4">
      <c r="A4" s="3" t="inlineStr">
        <is>
          <t>환율 (KRW/USD)</t>
        </is>
      </c>
      <c r="B4" s="4" t="n">
        <v>1550</v>
      </c>
      <c r="C4" s="5" t="inlineStr">
        <is>
          <t>← 제출 시점 환율로 갱신</t>
        </is>
      </c>
    </row>
    <row r="5">
      <c r="A5" s="3" t="inlineStr">
        <is>
          <t>청구 기간</t>
        </is>
      </c>
      <c r="B5" s="5" t="inlineStr">
        <is>
          <t>1개월</t>
        </is>
      </c>
    </row>
    <row r="7" ht="16.5" customHeight="1">
      <c r="A7" s="2" t="inlineStr">
        <is>
          <t>① 고정 구독 (월 정액)</t>
        </is>
      </c>
    </row>
    <row r="8">
      <c r="A8" s="6" t="inlineStr">
        <is>
          <t>항목</t>
        </is>
      </c>
      <c r="B8" s="6" t="inlineStr">
        <is>
          <t>단가(USD/월)</t>
        </is>
      </c>
      <c r="C8" s="6" t="inlineStr">
        <is>
          <t>인원·좌석</t>
        </is>
      </c>
      <c r="D8" s="6" t="inlineStr">
        <is>
          <t>합계(USD)</t>
        </is>
      </c>
      <c r="E8" s="6" t="inlineStr">
        <is>
          <t>합계(KRW)</t>
        </is>
      </c>
      <c r="F8" s="6" t="inlineStr">
        <is>
          <t>비고</t>
        </is>
      </c>
      <c r="G8" s="6" t="inlineStr"/>
      <c r="H8" s="6" t="inlineStr"/>
    </row>
    <row r="9">
      <c r="A9" s="3" t="inlineStr">
        <is>
          <t>Figma Professional (월간)</t>
        </is>
      </c>
      <c r="B9" s="5" t="n">
        <v>20</v>
      </c>
      <c r="C9" s="5" t="n">
        <v>1</v>
      </c>
      <c r="D9" s="7">
        <f>B9*C9</f>
        <v/>
      </c>
      <c r="E9" s="4">
        <f>D9*$B$4</f>
        <v/>
      </c>
      <c r="F9" s="5" t="inlineStr">
        <is>
          <t>UX/UI 1인</t>
        </is>
      </c>
    </row>
    <row r="10">
      <c r="A10" s="3" t="inlineStr">
        <is>
          <t>Vercel</t>
        </is>
      </c>
      <c r="B10" s="5" t="n">
        <v>0</v>
      </c>
      <c r="C10" s="5" t="n">
        <v>1</v>
      </c>
      <c r="D10" s="7" t="n">
        <v>0</v>
      </c>
      <c r="E10" s="4" t="n">
        <v>0</v>
      </c>
      <c r="F10" s="5" t="inlineStr">
        <is>
          <t>Free Tier 사용</t>
        </is>
      </c>
    </row>
    <row r="11">
      <c r="A11" s="3" t="inlineStr">
        <is>
          <t>Supabase Pro</t>
        </is>
      </c>
      <c r="B11" s="5" t="n">
        <v>25</v>
      </c>
      <c r="C11" s="5" t="n">
        <v>1</v>
      </c>
      <c r="D11" s="7">
        <f>B11*C11</f>
        <v/>
      </c>
      <c r="E11" s="4">
        <f>D11*$B$4</f>
        <v/>
      </c>
      <c r="F11" s="5" t="inlineStr">
        <is>
          <t>이미지+영상 저장 (1GB 초과 예상)</t>
        </is>
      </c>
    </row>
    <row r="12">
      <c r="A12" s="3" t="inlineStr">
        <is>
          <t>AWS (EC2·S3·RDS 예비 예산)</t>
        </is>
      </c>
      <c r="B12" s="5" t="n">
        <v>30</v>
      </c>
      <c r="C12" s="5" t="n">
        <v>1</v>
      </c>
      <c r="D12" s="7">
        <f>B12*C12</f>
        <v/>
      </c>
      <c r="E12" s="4">
        <f>D12*$B$4</f>
        <v/>
      </c>
      <c r="F12" s="5" t="inlineStr">
        <is>
          <t>Free Tier 만료 대비 고정 예비 예산</t>
        </is>
      </c>
    </row>
    <row r="13">
      <c r="A13" s="3" t="inlineStr">
        <is>
          <t>Claude Code Max × 4명 (BE2·FE1·UX1)</t>
        </is>
      </c>
      <c r="B13" s="5" t="n">
        <v>100</v>
      </c>
      <c r="C13" s="5" t="n">
        <v>4</v>
      </c>
      <c r="D13" s="7">
        <f>B13*C13</f>
        <v/>
      </c>
      <c r="E13" s="4">
        <f>D13*$B$4</f>
        <v/>
      </c>
      <c r="F13" s="5" t="inlineStr">
        <is>
          <t>Max $100/유저 — 개발·디자인 실무자</t>
        </is>
      </c>
    </row>
    <row r="14">
      <c r="A14" s="3" t="inlineStr">
        <is>
          <t>Claude Code Pro × 2명 (PM)</t>
        </is>
      </c>
      <c r="B14" s="5" t="n">
        <v>20</v>
      </c>
      <c r="C14" s="5" t="n">
        <v>2</v>
      </c>
      <c r="D14" s="7">
        <f>B14*C14</f>
        <v/>
      </c>
      <c r="E14" s="4">
        <f>D14*$B$4</f>
        <v/>
      </c>
      <c r="F14" s="5" t="inlineStr">
        <is>
          <t>Pro $20/유저 — PM</t>
        </is>
      </c>
    </row>
    <row r="15">
      <c r="A15" s="8" t="inlineStr">
        <is>
          <t>고정 소계</t>
        </is>
      </c>
      <c r="B15" s="9" t="n"/>
      <c r="C15" s="9" t="n"/>
      <c r="D15" s="10">
        <f>SUM(D9:D14)</f>
        <v/>
      </c>
      <c r="E15" s="11">
        <f>D15*$B$4</f>
        <v/>
      </c>
    </row>
    <row r="17" ht="16.5" customHeight="1">
      <c r="A17" s="2" t="inlineStr">
        <is>
          <t>② 사용량 기반 API — 토큰 기반 (Claude Sonnet)</t>
        </is>
      </c>
    </row>
    <row r="18">
      <c r="A18" s="6" t="inlineStr">
        <is>
          <t>항목</t>
        </is>
      </c>
      <c r="B18" s="6" t="inlineStr">
        <is>
          <t>호출수</t>
        </is>
      </c>
      <c r="C18" s="6" t="inlineStr">
        <is>
          <t>입력토큰/회</t>
        </is>
      </c>
      <c r="D18" s="6" t="inlineStr">
        <is>
          <t>출력토큰/회</t>
        </is>
      </c>
      <c r="E18" s="6" t="inlineStr">
        <is>
          <t>입력단가($/1M)</t>
        </is>
      </c>
      <c r="F18" s="6" t="inlineStr">
        <is>
          <t>출력단가($/1M)</t>
        </is>
      </c>
      <c r="G18" s="6" t="inlineStr">
        <is>
          <t>합계(USD)</t>
        </is>
      </c>
      <c r="H18" s="6" t="inlineStr">
        <is>
          <t>합계(KRW)</t>
        </is>
      </c>
    </row>
    <row r="19">
      <c r="A19" s="3" t="inlineStr">
        <is>
          <t>Claude Sonnet — 프롬프트 보조 (F001)</t>
        </is>
      </c>
      <c r="B19" s="5" t="n">
        <v>350</v>
      </c>
      <c r="C19" s="5" t="n">
        <v>2000</v>
      </c>
      <c r="D19" s="5" t="n">
        <v>600</v>
      </c>
      <c r="E19" s="5" t="n">
        <v>3</v>
      </c>
      <c r="F19" s="5" t="n">
        <v>15</v>
      </c>
      <c r="G19" s="7">
        <f>B19*(C19*E19+D19*F19)/1000000</f>
        <v/>
      </c>
      <c r="H19" s="4">
        <f>G19*$B$4</f>
        <v/>
      </c>
    </row>
    <row r="20">
      <c r="A20" s="3" t="inlineStr">
        <is>
          <t>Claude Sonnet — 역프롬프트 (F004, S등급)</t>
        </is>
      </c>
      <c r="B20" s="5" t="n">
        <v>150</v>
      </c>
      <c r="C20" s="5" t="n">
        <v>2500</v>
      </c>
      <c r="D20" s="5" t="n">
        <v>800</v>
      </c>
      <c r="E20" s="5" t="n">
        <v>3</v>
      </c>
      <c r="F20" s="5" t="n">
        <v>15</v>
      </c>
      <c r="G20" s="7">
        <f>B20*(C20*E20+D20*F20)/1000000</f>
        <v/>
      </c>
      <c r="H20" s="4">
        <f>G20*$B$4</f>
        <v/>
      </c>
    </row>
    <row r="21">
      <c r="A21" s="8" t="inlineStr">
        <is>
          <t>API 소계</t>
        </is>
      </c>
      <c r="B21" s="9" t="n"/>
      <c r="C21" s="9" t="n"/>
      <c r="D21" s="9" t="n"/>
      <c r="E21" s="9" t="n"/>
      <c r="F21" s="9" t="n"/>
      <c r="G21" s="10">
        <f>SUM(G19:G20)</f>
        <v/>
      </c>
      <c r="H21" s="11">
        <f>G21*$B$4</f>
        <v/>
      </c>
    </row>
    <row r="23" ht="16.5" customHeight="1">
      <c r="A23" s="2" t="inlineStr">
        <is>
          <t>③ 사용량 기반 — 이미지 생성 (GPT Image 2, quality: medium)</t>
        </is>
      </c>
    </row>
    <row r="24">
      <c r="A24" s="6" t="inlineStr">
        <is>
          <t>항목</t>
        </is>
      </c>
      <c r="B24" s="6" t="inlineStr">
        <is>
          <t>이미지 수</t>
        </is>
      </c>
      <c r="C24" s="6" t="inlineStr">
        <is>
          <t>단가/장(USD)</t>
        </is>
      </c>
      <c r="D24" s="6" t="inlineStr">
        <is>
          <t>합계(USD)</t>
        </is>
      </c>
      <c r="E24" s="6" t="inlineStr">
        <is>
          <t>합계(KRW)</t>
        </is>
      </c>
      <c r="F24" s="6" t="inlineStr">
        <is>
          <t>비고</t>
        </is>
      </c>
      <c r="G24" s="6" t="inlineStr"/>
      <c r="H24" s="6" t="inlineStr"/>
    </row>
    <row r="25">
      <c r="A25" s="3" t="inlineStr">
        <is>
          <t>GPT Image 2 medium — 단일 이미지 (F001)</t>
        </is>
      </c>
      <c r="B25" s="5" t="n">
        <v>120</v>
      </c>
      <c r="C25" s="5" t="n">
        <v>0.042</v>
      </c>
      <c r="D25" s="7">
        <f>B25*C25</f>
        <v/>
      </c>
      <c r="E25" s="4">
        <f>D25*$B$4</f>
        <v/>
      </c>
      <c r="F25" s="5" t="inlineStr">
        <is>
          <t>이미지 생성 테스트+데모</t>
        </is>
      </c>
    </row>
    <row r="26">
      <c r="A26" s="12" t="inlineStr">
        <is>
          <t>[B팀 제공] 9그리드 스토리보드</t>
        </is>
      </c>
      <c r="B26" s="13" t="n">
        <v>0</v>
      </c>
      <c r="C26" s="13" t="n">
        <v>0</v>
      </c>
      <c r="D26" s="14" t="n">
        <v>0</v>
      </c>
      <c r="E26" s="15" t="n">
        <v>0</v>
      </c>
      <c r="F26" s="13" t="inlineStr">
        <is>
          <t>B팀에서 생성 제공 → A2팀 비용 없음</t>
        </is>
      </c>
    </row>
    <row r="27">
      <c r="A27" s="8" t="inlineStr">
        <is>
          <t>이미지 소계</t>
        </is>
      </c>
      <c r="B27" s="9" t="n"/>
      <c r="C27" s="9" t="n"/>
      <c r="D27" s="10">
        <f>D25</f>
        <v/>
      </c>
      <c r="E27" s="11">
        <f>D27*$B$4</f>
        <v/>
      </c>
    </row>
    <row r="29" ht="16.5" customHeight="1">
      <c r="A29" s="2" t="inlineStr">
        <is>
          <t>④ 사용량 기반 — 영상 생성 (fal.ai / 1세트 = 1클립)</t>
        </is>
      </c>
    </row>
    <row r="30">
      <c r="A30" s="16" t="inlineStr">
        <is>
          <t xml:space="preserve">  ℹ  흐름: [B팀] 9그리드 스토리보드 + shot1~9 프롬프트 제공  →  [A2팀] 영상 생성 API  →  클립 1개 출력</t>
        </is>
      </c>
    </row>
    <row r="31">
      <c r="A31" s="6" t="inlineStr">
        <is>
          <t>항목</t>
        </is>
      </c>
      <c r="B31" s="6" t="inlineStr">
        <is>
          <t>단가($/초)</t>
        </is>
      </c>
      <c r="C31" s="6" t="inlineStr">
        <is>
          <t>세트 수</t>
        </is>
      </c>
      <c r="D31" s="6" t="inlineStr">
        <is>
          <t>초/클립</t>
        </is>
      </c>
      <c r="E31" s="6" t="inlineStr">
        <is>
          <t>총 초</t>
        </is>
      </c>
      <c r="F31" s="6" t="inlineStr">
        <is>
          <t>합계(USD)</t>
        </is>
      </c>
      <c r="G31" s="6" t="inlineStr">
        <is>
          <t>합계(KRW)</t>
        </is>
      </c>
      <c r="H31" s="6" t="inlineStr">
        <is>
          <t>비고</t>
        </is>
      </c>
    </row>
    <row r="32">
      <c r="A32" s="3" t="inlineStr">
        <is>
          <t>fal.ai Kling — 개발 테스트 (5초/클립)</t>
        </is>
      </c>
      <c r="B32" s="5" t="n">
        <v>0.11</v>
      </c>
      <c r="C32" s="5" t="n">
        <v>8</v>
      </c>
      <c r="D32" s="5" t="n">
        <v>5</v>
      </c>
      <c r="E32" s="5">
        <f>C32*D32</f>
        <v/>
      </c>
      <c r="F32" s="7">
        <f>B32*E32</f>
        <v/>
      </c>
      <c r="G32" s="4">
        <f>F32*$B$4</f>
        <v/>
      </c>
      <c r="H32" s="5" t="inlineStr">
        <is>
          <t>주 2회×4주 / 3~5초 상한 기준</t>
        </is>
      </c>
    </row>
    <row r="33">
      <c r="A33" s="3" t="inlineStr">
        <is>
          <t>fal.ai Seedance 2.0 — 중간점검 (5초/클립)</t>
        </is>
      </c>
      <c r="B33" s="5" t="n">
        <v>0.3034</v>
      </c>
      <c r="C33" s="5" t="n">
        <v>1</v>
      </c>
      <c r="D33" s="5" t="n">
        <v>5</v>
      </c>
      <c r="E33" s="5">
        <f>C33*D33</f>
        <v/>
      </c>
      <c r="F33" s="7">
        <f>B33*E33</f>
        <v/>
      </c>
      <c r="G33" s="4">
        <f>F33*$B$4</f>
        <v/>
      </c>
      <c r="H33" s="5" t="inlineStr">
        <is>
          <t>2주차 중간점검 데모 / 720p standard</t>
        </is>
      </c>
    </row>
    <row r="34">
      <c r="A34" s="3" t="inlineStr">
        <is>
          <t>fal.ai Seedance 2.0 — 최종 출력 (15초/클립, 최대 길이)</t>
        </is>
      </c>
      <c r="B34" s="5" t="n">
        <v>0.3034</v>
      </c>
      <c r="C34" s="5" t="n">
        <v>2</v>
      </c>
      <c r="D34" s="5" t="n">
        <v>15</v>
      </c>
      <c r="E34" s="5">
        <f>C34*D34</f>
        <v/>
      </c>
      <c r="F34" s="7">
        <f>B34*E34</f>
        <v/>
      </c>
      <c r="G34" s="4">
        <f>F34*$B$4</f>
        <v/>
      </c>
      <c r="H34" s="5" t="inlineStr">
        <is>
          <t>4주차 최종 발표 2세트 / 720p / 음성 포함</t>
        </is>
      </c>
    </row>
    <row r="35">
      <c r="A35" s="8" t="inlineStr">
        <is>
          <t>영상 소계</t>
        </is>
      </c>
      <c r="B35" s="9" t="n"/>
      <c r="C35" s="9" t="n"/>
      <c r="D35" s="9" t="n"/>
      <c r="E35" s="9" t="n"/>
      <c r="F35" s="10">
        <f>SUM(F32:F34)</f>
        <v/>
      </c>
      <c r="G35" s="11">
        <f>F35*$B$4</f>
        <v/>
      </c>
    </row>
    <row r="36">
      <c r="A36" s="17" t="inlineStr">
        <is>
          <t xml:space="preserve">  ★ fal.ai Hard Limit 권장 $50 설정 (Billing &gt; Spend Limit)</t>
        </is>
      </c>
    </row>
    <row r="38" ht="16.5" customHeight="1">
      <c r="A38" s="2" t="inlineStr">
        <is>
          <t>■ 요약</t>
        </is>
      </c>
    </row>
    <row r="39">
      <c r="A39" s="6" t="inlineStr">
        <is>
          <t>항목</t>
        </is>
      </c>
      <c r="B39" s="6" t="inlineStr">
        <is>
          <t>USD</t>
        </is>
      </c>
      <c r="C39" s="6" t="inlineStr">
        <is>
          <t>KRW</t>
        </is>
      </c>
      <c r="D39" s="6" t="inlineStr"/>
      <c r="E39" s="6" t="inlineStr"/>
      <c r="F39" s="6" t="inlineStr"/>
      <c r="G39" s="6" t="inlineStr"/>
      <c r="H39" s="6" t="inlineStr"/>
    </row>
    <row r="40">
      <c r="A40" s="3" t="inlineStr">
        <is>
          <t>① 고정 구독 소계</t>
        </is>
      </c>
      <c r="B40" s="18">
        <f>D15</f>
        <v/>
      </c>
      <c r="C40" s="19">
        <f>E15</f>
        <v/>
      </c>
    </row>
    <row r="41">
      <c r="A41" s="3" t="inlineStr">
        <is>
          <t>②③④ API/이미지/영상 소계 (B등급)</t>
        </is>
      </c>
      <c r="B41" s="18">
        <f>D27+F32+F33+G19</f>
        <v/>
      </c>
      <c r="C41" s="19">
        <f>B41*$B$4</f>
        <v/>
      </c>
    </row>
    <row r="42">
      <c r="A42" s="3" t="inlineStr">
        <is>
          <t>②③④ API/이미지/영상 소계 (S등급 도전)</t>
        </is>
      </c>
      <c r="B42" s="18">
        <f>D27+F32+F33+F34+G19+G20</f>
        <v/>
      </c>
      <c r="C42" s="19">
        <f>B42*$B$4</f>
        <v/>
      </c>
    </row>
    <row r="43" ht="16.5" customHeight="1">
      <c r="A43" s="20" t="inlineStr">
        <is>
          <t>★ 총 합계 — B등급</t>
        </is>
      </c>
      <c r="B43" s="21">
        <f>D15+B41</f>
        <v/>
      </c>
      <c r="C43" s="22">
        <f>B43*$B$4</f>
        <v/>
      </c>
      <c r="D43" s="23" t="n"/>
      <c r="E43" s="23" t="n"/>
      <c r="F43" s="23" t="n"/>
      <c r="G43" s="23" t="n"/>
      <c r="H43" s="23" t="n"/>
    </row>
    <row r="44" ht="18" customHeight="1">
      <c r="A44" s="24" t="inlineStr">
        <is>
          <t>★ 총 합계 — S등급 (권장)</t>
        </is>
      </c>
      <c r="B44" s="25">
        <f>D15+B42</f>
        <v/>
      </c>
      <c r="C44" s="26">
        <f>B44*$B$4</f>
        <v/>
      </c>
      <c r="D44" s="27" t="n"/>
      <c r="E44" s="27" t="n"/>
      <c r="F44" s="27" t="n"/>
      <c r="G44" s="27" t="n"/>
      <c r="H44" s="27" t="n"/>
    </row>
  </sheetData>
  <mergeCells count="9">
    <mergeCell ref="A3:H3"/>
    <mergeCell ref="A30:H30"/>
    <mergeCell ref="A29:H29"/>
    <mergeCell ref="A7:H7"/>
    <mergeCell ref="A38:H38"/>
    <mergeCell ref="A36:H36"/>
    <mergeCell ref="A1:H1"/>
    <mergeCell ref="A23:H2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2026-06-30T10:31:37Z</dcterms:created>
  <dcterms:modified xmlns:dcterms="http://purl.org/dc/terms/" xmlns:xsi="http://www.w3.org/2001/XMLSchema-instance" xsi:type="dcterms:W3CDTF">2026-06-30T10:31:37Z</dcterms:modified>
</cp:coreProperties>
</file>