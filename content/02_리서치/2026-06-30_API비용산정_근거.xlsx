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상비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555555"/>
      <sz val="9"/>
    </font>
    <font>
      <name val="Malgun Gothic"/>
      <b val="1"/>
      <color rgb="00000000"/>
      <sz val="9"/>
    </font>
    <font>
      <name val="Malgun Gothic"/>
      <b val="1"/>
      <color rgb="001E4D8C"/>
      <sz val="10"/>
    </font>
    <font>
      <name val="Malgun Gothic"/>
      <color rgb="00888888"/>
      <sz val="9"/>
    </font>
    <font>
      <name val="Malgun Gothic"/>
      <b val="1"/>
      <color rgb="00FFFFFF"/>
      <sz val="11"/>
    </font>
    <font>
      <name val="Malgun Gothic"/>
      <b val="1"/>
      <color rgb="002C3E6B"/>
      <sz val="9"/>
    </font>
    <font>
      <name val="Malgun Gothic"/>
      <color rgb="00000000"/>
      <sz val="10"/>
    </font>
    <font>
      <name val="Malgun Gothic"/>
      <b val="1"/>
      <color rgb="005B2C8C"/>
      <sz val="9"/>
    </font>
    <font>
      <name val="Malgun Gothic"/>
      <b val="1"/>
      <color rgb="00155724"/>
      <sz val="9"/>
    </font>
    <font>
      <name val="Malgun Gothic"/>
      <color rgb="00777777"/>
      <sz val="8"/>
    </font>
    <font>
      <name val="Malgun Gothic"/>
      <color rgb="00999999"/>
      <sz val="9"/>
    </font>
    <font>
      <name val="Malgun Gothic"/>
      <color rgb="00444444"/>
      <sz val="9"/>
    </font>
    <font>
      <name val="Malgun Gothic"/>
      <b val="1"/>
      <color rgb="00C00000"/>
      <sz val="9"/>
    </font>
    <font>
      <name val="Malgun Gothic"/>
      <b val="1"/>
      <color rgb="00C00000"/>
      <sz val="10"/>
    </font>
    <font>
      <name val="Malgun Gothic"/>
      <color rgb="00000000"/>
      <sz val="9"/>
    </font>
  </fonts>
  <fills count="17">
    <fill>
      <patternFill/>
    </fill>
    <fill>
      <patternFill patternType="gray125"/>
    </fill>
    <fill>
      <patternFill patternType="solid">
        <fgColor rgb="002C3E6B"/>
      </patternFill>
    </fill>
    <fill>
      <patternFill patternType="solid">
        <fgColor rgb="001E4D8C"/>
      </patternFill>
    </fill>
    <fill>
      <patternFill patternType="solid">
        <fgColor rgb="00D6E4F0"/>
      </patternFill>
    </fill>
    <fill>
      <patternFill patternType="solid">
        <fgColor rgb="00FFF9C4"/>
      </patternFill>
    </fill>
    <fill>
      <patternFill patternType="solid">
        <fgColor rgb="00EDE7F6"/>
      </patternFill>
    </fill>
    <fill>
      <patternFill patternType="solid">
        <fgColor rgb="00F3E5F5"/>
      </patternFill>
    </fill>
    <fill>
      <patternFill patternType="solid">
        <fgColor rgb="00E8EAF6"/>
      </patternFill>
    </fill>
    <fill>
      <patternFill patternType="solid">
        <fgColor rgb="00E8F4E8"/>
      </patternFill>
    </fill>
    <fill>
      <patternFill patternType="solid">
        <fgColor rgb="001A6B5A"/>
      </patternFill>
    </fill>
    <fill>
      <patternFill patternType="solid">
        <fgColor rgb="00F5F5F5"/>
      </patternFill>
    </fill>
    <fill>
      <patternFill patternType="solid">
        <fgColor rgb="00C05C00"/>
      </patternFill>
    </fill>
    <fill>
      <patternFill patternType="solid">
        <fgColor rgb="00FFF3E0"/>
      </patternFill>
    </fill>
    <fill>
      <patternFill patternType="solid">
        <fgColor rgb="00FFF0F0"/>
      </patternFill>
    </fill>
    <fill>
      <patternFill patternType="solid">
        <fgColor rgb="005B2C8C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right" vertical="center"/>
    </xf>
    <xf numFmtId="4" fontId="8" fillId="5" borderId="1" applyAlignment="1" pivotButton="0" quotePrefix="0" xfId="0">
      <alignment horizontal="right" vertical="center"/>
    </xf>
    <xf numFmtId="0" fontId="9" fillId="6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right" vertical="center"/>
    </xf>
    <xf numFmtId="4" fontId="8" fillId="7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right" vertical="center"/>
    </xf>
    <xf numFmtId="4" fontId="8" fillId="8" borderId="1" applyAlignment="1" pivotButton="0" quotePrefix="0" xfId="0">
      <alignment horizontal="right" vertical="center"/>
    </xf>
    <xf numFmtId="0" fontId="10" fillId="9" borderId="1" applyAlignment="1" pivotButton="0" quotePrefix="0" xfId="0">
      <alignment horizontal="left" vertical="center" wrapText="1"/>
    </xf>
    <xf numFmtId="0" fontId="0" fillId="0" borderId="1" pivotButton="0" quotePrefix="0" xfId="0"/>
    <xf numFmtId="4" fontId="10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6" fillId="10" borderId="0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right" vertical="center"/>
    </xf>
    <xf numFmtId="4" fontId="8" fillId="11" borderId="1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left" vertical="center" wrapText="1"/>
    </xf>
    <xf numFmtId="3" fontId="8" fillId="0" borderId="1" applyAlignment="1" pivotButton="0" quotePrefix="0" xfId="0">
      <alignment horizontal="right" vertical="center"/>
    </xf>
    <xf numFmtId="0" fontId="14" fillId="14" borderId="0" applyAlignment="1" pivotButton="0" quotePrefix="0" xfId="0">
      <alignment horizontal="left" vertical="center" wrapText="1"/>
    </xf>
    <xf numFmtId="0" fontId="6" fillId="15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16" borderId="1" applyAlignment="1" pivotButton="0" quotePrefix="0" xfId="0">
      <alignment horizontal="left" vertical="center" wrapText="1"/>
    </xf>
    <xf numFmtId="4" fontId="15" fillId="16" borderId="1" applyAlignment="1" pivotButton="0" quotePrefix="0" xfId="0">
      <alignment horizontal="right" vertical="center"/>
    </xf>
    <xf numFmtId="3" fontId="15" fillId="16" borderId="1" applyAlignment="1" pivotButton="0" quotePrefix="0" xfId="0">
      <alignment horizontal="right" vertical="center"/>
    </xf>
    <xf numFmtId="0" fontId="16" fillId="11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8"/>
  <cols>
    <col width="34" customWidth="1" min="1" max="1"/>
    <col width="15" customWidth="1" min="2" max="2"/>
    <col width="13" customWidth="1" min="3" max="3"/>
    <col width="14" customWidth="1" min="4" max="4"/>
    <col width="12" customWidth="1" min="5" max="5"/>
    <col width="14" customWidth="1" min="6" max="6"/>
    <col width="14" customWidth="1" min="7" max="7"/>
    <col width="26" customWidth="1" min="8" max="8"/>
    <col width="8" customWidth="1" min="9" max="9"/>
  </cols>
  <sheetData>
    <row r="1" ht="28" customHeight="1">
      <c r="A1" s="1" t="inlineStr">
        <is>
          <t>A2팀 KX GenStudio — API 예상 비용 산정표</t>
        </is>
      </c>
    </row>
    <row r="2">
      <c r="A2" s="2" t="inlineStr">
        <is>
          <t>작성일: 2026-06-30  |  작성자: 이슬기 (A2팀 PM)  |  단위: USD</t>
        </is>
      </c>
    </row>
    <row r="3">
      <c r="A3" s="3" t="inlineStr">
        <is>
          <t>환율 (KRW/USD)</t>
        </is>
      </c>
      <c r="C3" s="4" t="n">
        <v>1550</v>
      </c>
      <c r="D3" s="5" t="inlineStr">
        <is>
          <t>← 이 셀만 수정하면 원화 환산 자동 반영</t>
        </is>
      </c>
    </row>
    <row r="5">
      <c r="A5" s="6" t="inlineStr">
        <is>
          <t>① 고정 구독 · 도구 비용</t>
        </is>
      </c>
    </row>
    <row r="6">
      <c r="A6" s="7" t="inlineStr">
        <is>
          <t>항목</t>
        </is>
      </c>
      <c r="B6" s="7" t="inlineStr">
        <is>
          <t>월 단가 ($)</t>
        </is>
      </c>
      <c r="C6" s="7" t="inlineStr">
        <is>
          <t>수량 / 기간</t>
        </is>
      </c>
      <c r="D6" s="7" t="inlineStr">
        <is>
          <t>소계 ($)</t>
        </is>
      </c>
      <c r="E6" s="7" t="inlineStr">
        <is>
          <t>비고</t>
        </is>
      </c>
      <c r="F6" s="7" t="inlineStr"/>
      <c r="G6" s="7" t="inlineStr"/>
      <c r="H6" s="7" t="inlineStr"/>
      <c r="I6" s="7" t="inlineStr"/>
    </row>
    <row r="7">
      <c r="A7" s="8" t="inlineStr">
        <is>
          <t>Figma Professional</t>
        </is>
      </c>
      <c r="B7" s="9" t="n">
        <v>20</v>
      </c>
      <c r="C7" s="9" t="inlineStr">
        <is>
          <t>1개월</t>
        </is>
      </c>
      <c r="D7" s="10">
        <f>B7</f>
        <v/>
      </c>
      <c r="E7" s="9" t="inlineStr">
        <is>
          <t>UX/UI 1인 전용 플랜</t>
        </is>
      </c>
    </row>
    <row r="8">
      <c r="A8" s="8" t="inlineStr">
        <is>
          <t>Vercel</t>
        </is>
      </c>
      <c r="B8" s="9" t="n">
        <v>0</v>
      </c>
      <c r="C8" s="9" t="inlineStr">
        <is>
          <t>1개월</t>
        </is>
      </c>
      <c r="D8" s="10" t="n">
        <v>0</v>
      </c>
      <c r="E8" s="9" t="inlineStr">
        <is>
          <t>Free Tier 사용</t>
        </is>
      </c>
    </row>
    <row r="9">
      <c r="A9" s="8" t="inlineStr">
        <is>
          <t>Supabase Pro</t>
        </is>
      </c>
      <c r="B9" s="9" t="n">
        <v>25</v>
      </c>
      <c r="C9" s="9" t="inlineStr">
        <is>
          <t>1개월</t>
        </is>
      </c>
      <c r="D9" s="10">
        <f>B9</f>
        <v/>
      </c>
      <c r="E9" s="9" t="inlineStr">
        <is>
          <t>이미지+영상 저장 (Free 1GB 초과 예상)</t>
        </is>
      </c>
    </row>
    <row r="10">
      <c r="A10" s="11" t="inlineStr">
        <is>
          <t>AWS (EC2·S3·RDS 통합 예비 예산)</t>
        </is>
      </c>
      <c r="B10" s="12" t="n">
        <v>30</v>
      </c>
      <c r="C10" s="12" t="inlineStr">
        <is>
          <t>1개월</t>
        </is>
      </c>
      <c r="D10" s="13">
        <f>B10</f>
        <v/>
      </c>
      <c r="E10" s="12" t="inlineStr">
        <is>
          <t>Free Tier 만료 대비 고정 예비 예산</t>
        </is>
      </c>
    </row>
    <row r="11">
      <c r="A11" s="14" t="inlineStr">
        <is>
          <t>▼ Claude Code — Option 선택 (A / B 중 하나 선택)</t>
        </is>
      </c>
    </row>
    <row r="12">
      <c r="A12" s="15" t="inlineStr">
        <is>
          <t>[Option A] Claude Code Pro × 6명</t>
        </is>
      </c>
      <c r="B12" s="16" t="n">
        <v>20</v>
      </c>
      <c r="C12" s="16" t="inlineStr">
        <is>
          <t>6명 × 1개월</t>
        </is>
      </c>
      <c r="D12" s="17">
        <f>B12*6</f>
        <v/>
      </c>
      <c r="E12" s="16" t="inlineStr">
        <is>
          <t>Pro $20/유저</t>
        </is>
      </c>
    </row>
    <row r="13">
      <c r="A13" s="18" t="inlineStr">
        <is>
          <t>[Option B] Claude Code Max × 4 + Pro × 2</t>
        </is>
      </c>
      <c r="B13" s="19" t="inlineStr">
        <is>
          <t>Max×4 + Pro×2</t>
        </is>
      </c>
      <c r="C13" s="20" t="inlineStr">
        <is>
          <t>6명 × 1개월</t>
        </is>
      </c>
      <c r="D13" s="21" t="n">
        <v>440</v>
      </c>
      <c r="E13" s="20" t="inlineStr">
        <is>
          <t>Max $100 (BE2·FE1·UX1) + Pro $20 (PM2) — 업그레이드 불가 시 권장</t>
        </is>
      </c>
    </row>
    <row r="14">
      <c r="A14" s="22" t="inlineStr">
        <is>
          <t>소계 ① — Option A 기준  ($195)</t>
        </is>
      </c>
      <c r="B14" s="23" t="n"/>
      <c r="C14" s="23" t="n"/>
      <c r="D14" s="24">
        <f>D7+D8+D9+D10+D12</f>
        <v/>
      </c>
      <c r="E14" s="25" t="inlineStr">
        <is>
          <t>※ Option B 기준: $515</t>
        </is>
      </c>
    </row>
    <row r="16">
      <c r="A16" s="26" t="inlineStr">
        <is>
          <t>② 이미지 생성 API  (GPT Image 2 단일 모델, quality: medium)</t>
        </is>
      </c>
    </row>
    <row r="17">
      <c r="A17" s="7" t="inlineStr">
        <is>
          <t>항목</t>
        </is>
      </c>
      <c r="B17" s="7" t="inlineStr">
        <is>
          <t>단가 ($/장)</t>
        </is>
      </c>
      <c r="C17" s="7" t="inlineStr">
        <is>
          <t>수량 (장)</t>
        </is>
      </c>
      <c r="D17" s="7" t="inlineStr">
        <is>
          <t>소계 ($)</t>
        </is>
      </c>
      <c r="E17" s="7" t="inlineStr">
        <is>
          <t>용도</t>
        </is>
      </c>
      <c r="F17" s="7" t="inlineStr"/>
      <c r="G17" s="7" t="inlineStr"/>
      <c r="H17" s="7" t="inlineStr"/>
      <c r="I17" s="7" t="inlineStr"/>
    </row>
    <row r="18">
      <c r="A18" s="8" t="inlineStr">
        <is>
          <t>GPT Image 2 medium — 단일 이미지</t>
        </is>
      </c>
      <c r="B18" s="9" t="n">
        <v>0.042</v>
      </c>
      <c r="C18" s="9" t="n">
        <v>120</v>
      </c>
      <c r="D18" s="10">
        <f>B18*C18</f>
        <v/>
      </c>
      <c r="E18" s="9" t="inlineStr">
        <is>
          <t>F001 단일 이미지 생성 (테스트+데모)</t>
        </is>
      </c>
    </row>
    <row r="19">
      <c r="A19" s="27" t="inlineStr">
        <is>
          <t>[B팀 제공] 9그리드 스토리보드 이미지</t>
        </is>
      </c>
      <c r="B19" s="28" t="n">
        <v>0</v>
      </c>
      <c r="C19" s="28" t="n">
        <v>0</v>
      </c>
      <c r="D19" s="29" t="n">
        <v>0</v>
      </c>
      <c r="E19" s="28" t="inlineStr">
        <is>
          <t>B팀에서 생성·제공 → A2팀 비용 없음</t>
        </is>
      </c>
    </row>
    <row r="20">
      <c r="A20" s="22" t="inlineStr">
        <is>
          <t>소계 ②  ($5.04)</t>
        </is>
      </c>
      <c r="B20" s="23" t="n"/>
      <c r="C20" s="23" t="n"/>
      <c r="D20" s="24">
        <f>D18</f>
        <v/>
      </c>
    </row>
    <row r="22">
      <c r="A22" s="30" t="inlineStr">
        <is>
          <t>③ 영상 생성 API  (1세트 = 1클립)</t>
        </is>
      </c>
    </row>
    <row r="23">
      <c r="A23" s="31" t="inlineStr">
        <is>
          <t xml:space="preserve">  ℹ️  흐름: [B팀] 9그리드 스토리보드 + shot1~9 프롬프트 제공  →  [A2팀] 영상 생성 API 입력  →  클립 1개 출력</t>
        </is>
      </c>
    </row>
    <row r="24">
      <c r="A24" s="7" t="inlineStr">
        <is>
          <t>항목</t>
        </is>
      </c>
      <c r="B24" s="7" t="inlineStr">
        <is>
          <t>단가 ($/초)</t>
        </is>
      </c>
      <c r="C24" s="7" t="inlineStr">
        <is>
          <t>세트 수</t>
        </is>
      </c>
      <c r="D24" s="7" t="inlineStr">
        <is>
          <t>초/클립</t>
        </is>
      </c>
      <c r="E24" s="7" t="inlineStr">
        <is>
          <t>총 초</t>
        </is>
      </c>
      <c r="F24" s="7" t="inlineStr">
        <is>
          <t>소계 ($)</t>
        </is>
      </c>
      <c r="G24" s="7" t="inlineStr">
        <is>
          <t>비고</t>
        </is>
      </c>
      <c r="H24" s="7" t="inlineStr"/>
      <c r="I24" s="7" t="inlineStr"/>
    </row>
    <row r="25">
      <c r="A25" s="8" t="inlineStr">
        <is>
          <t>fal.ai Kling — 개발 테스트 (5초/클립)</t>
        </is>
      </c>
      <c r="B25" s="9" t="n">
        <v>0.11</v>
      </c>
      <c r="C25" s="9" t="n">
        <v>8</v>
      </c>
      <c r="D25" s="9" t="n">
        <v>5</v>
      </c>
      <c r="E25" s="32">
        <f>C25*D25</f>
        <v/>
      </c>
      <c r="F25" s="10">
        <f>B25*E25</f>
        <v/>
      </c>
      <c r="G25" s="9" t="inlineStr">
        <is>
          <t>주 2회 × 4주 / 3~5초 상한 기준</t>
        </is>
      </c>
    </row>
    <row r="26">
      <c r="A26" s="8" t="inlineStr">
        <is>
          <t>fal.ai Seedance 2.0 — 중간점검 (5초/클립)</t>
        </is>
      </c>
      <c r="B26" s="9" t="n">
        <v>0.3034</v>
      </c>
      <c r="C26" s="9" t="n">
        <v>1</v>
      </c>
      <c r="D26" s="9" t="n">
        <v>5</v>
      </c>
      <c r="E26" s="32">
        <f>C26*D26</f>
        <v/>
      </c>
      <c r="F26" s="10">
        <f>B26*E26</f>
        <v/>
      </c>
      <c r="G26" s="9" t="inlineStr">
        <is>
          <t>2주차 중간점검 데모 / 720p standard</t>
        </is>
      </c>
    </row>
    <row r="27">
      <c r="A27" s="8" t="inlineStr">
        <is>
          <t>fal.ai Seedance 2.0 — 최종 출력 (15초/클립, 최대 길이)</t>
        </is>
      </c>
      <c r="B27" s="9" t="n">
        <v>0.3034</v>
      </c>
      <c r="C27" s="9" t="n">
        <v>2</v>
      </c>
      <c r="D27" s="9" t="n">
        <v>15</v>
      </c>
      <c r="E27" s="32">
        <f>C27*D27</f>
        <v/>
      </c>
      <c r="F27" s="10">
        <f>B27*E27</f>
        <v/>
      </c>
      <c r="G27" s="9" t="inlineStr">
        <is>
          <t>4주차 최종 발표 (2세트) / 720p standard / 음성 포함</t>
        </is>
      </c>
    </row>
    <row r="28">
      <c r="A28" s="22" t="inlineStr">
        <is>
          <t>소계 ③  ($15.02)</t>
        </is>
      </c>
      <c r="B28" s="23" t="n"/>
      <c r="F28" s="24">
        <f>SUM(F25:F27)</f>
        <v/>
      </c>
    </row>
    <row r="29">
      <c r="A29" s="33" t="inlineStr">
        <is>
          <t xml:space="preserve">  ★ fal.ai Hard Limit 권장: $50 설정 (Billing &gt; Spend Limit)</t>
        </is>
      </c>
    </row>
    <row r="31">
      <c r="A31" s="34" t="inlineStr">
        <is>
          <t>④ Claude Sonnet API  (토큰 기반)</t>
        </is>
      </c>
    </row>
    <row r="32">
      <c r="A32" s="7" t="inlineStr">
        <is>
          <t>항목</t>
        </is>
      </c>
      <c r="B32" s="7" t="inlineStr">
        <is>
          <t>호출 횟수</t>
        </is>
      </c>
      <c r="C32" s="7" t="inlineStr">
        <is>
          <t>입력 토큰/회</t>
        </is>
      </c>
      <c r="D32" s="7" t="inlineStr">
        <is>
          <t>출력 토큰/회</t>
        </is>
      </c>
      <c r="E32" s="7" t="inlineStr">
        <is>
          <t>입력 단가($/1M)</t>
        </is>
      </c>
      <c r="F32" s="7" t="inlineStr">
        <is>
          <t>출력 단가($/1M)</t>
        </is>
      </c>
      <c r="G32" s="7" t="inlineStr">
        <is>
          <t>소계 ($)</t>
        </is>
      </c>
      <c r="H32" s="7" t="inlineStr">
        <is>
          <t>비고</t>
        </is>
      </c>
      <c r="I32" s="7" t="inlineStr"/>
    </row>
    <row r="33">
      <c r="A33" s="8" t="inlineStr">
        <is>
          <t>Claude Sonnet — 프롬프트 보조 (F001 이미지 생성)</t>
        </is>
      </c>
      <c r="B33" s="9" t="n">
        <v>350</v>
      </c>
      <c r="C33" s="9" t="n">
        <v>2000</v>
      </c>
      <c r="D33" s="9" t="n">
        <v>600</v>
      </c>
      <c r="E33" s="9" t="n">
        <v>3</v>
      </c>
      <c r="F33" s="9" t="n">
        <v>15</v>
      </c>
      <c r="G33" s="10">
        <f>B33*(C33*E33+D33*F33)/1000000</f>
        <v/>
      </c>
      <c r="H33" s="9" t="inlineStr">
        <is>
          <t>이미지 프롬프트 생성 보조</t>
        </is>
      </c>
    </row>
    <row r="34">
      <c r="A34" s="8" t="inlineStr">
        <is>
          <t>Claude Sonnet — 역프롬프트 (F004, S등급 도전)</t>
        </is>
      </c>
      <c r="B34" s="9" t="n">
        <v>150</v>
      </c>
      <c r="C34" s="9" t="n">
        <v>2500</v>
      </c>
      <c r="D34" s="9" t="n">
        <v>800</v>
      </c>
      <c r="E34" s="9" t="n">
        <v>3</v>
      </c>
      <c r="F34" s="9" t="n">
        <v>15</v>
      </c>
      <c r="G34" s="10">
        <f>B34*(C34*E34+D34*F34)/1000000</f>
        <v/>
      </c>
      <c r="H34" s="9" t="inlineStr">
        <is>
          <t>역프롬프트 분석 (S등급 도전)</t>
        </is>
      </c>
    </row>
    <row r="35">
      <c r="A35" s="22" t="inlineStr">
        <is>
          <t>소계 ④  ($8.18)</t>
        </is>
      </c>
      <c r="B35" s="23" t="n"/>
      <c r="G35" s="24">
        <f>SUM(G33:G34)</f>
        <v/>
      </c>
    </row>
    <row r="37">
      <c r="A37" s="35" t="inlineStr">
        <is>
          <t>⑤ 등급별 예산 요약  (×1.5 여유 포함)</t>
        </is>
      </c>
    </row>
    <row r="38">
      <c r="A38" s="7" t="inlineStr">
        <is>
          <t>구분</t>
        </is>
      </c>
      <c r="B38" s="7" t="inlineStr">
        <is>
          <t>포함 항목</t>
        </is>
      </c>
      <c r="C38" s="7" t="inlineStr">
        <is>
          <t>API 순비용 ($)</t>
        </is>
      </c>
      <c r="D38" s="7" t="inlineStr">
        <is>
          <t>×1.5 버퍼 ($)</t>
        </is>
      </c>
      <c r="E38" s="7" t="inlineStr">
        <is>
          <t>원화 환산 (원)</t>
        </is>
      </c>
      <c r="F38" s="7" t="inlineStr">
        <is>
          <t>Option A 합산 ($)</t>
        </is>
      </c>
      <c r="G38" s="7" t="inlineStr">
        <is>
          <t>Option B 합산 ($)</t>
        </is>
      </c>
      <c r="H38" s="7" t="inlineStr">
        <is>
          <t>비고</t>
        </is>
      </c>
      <c r="I38" s="7" t="inlineStr"/>
    </row>
    <row r="39" ht="28" customHeight="1">
      <c r="A39" s="8" t="inlineStr">
        <is>
          <t>B등급</t>
        </is>
      </c>
      <c r="B39" s="9" t="inlineStr">
        <is>
          <t>② 이미지 + ③ Kling·Seedance중간 + ④ 프롬프트 보조</t>
        </is>
      </c>
      <c r="C39" s="10">
        <f>D20+F25+F26+G33</f>
        <v/>
      </c>
      <c r="D39" s="10">
        <f>C39*1.5</f>
        <v/>
      </c>
      <c r="E39" s="32">
        <f>D39*C3</f>
        <v/>
      </c>
      <c r="F39" s="10">
        <f>D39+D14</f>
        <v/>
      </c>
      <c r="G39" s="10">
        <f>D39+515</f>
        <v/>
      </c>
      <c r="H39" s="9" t="inlineStr">
        <is>
          <t>이미지 생성 + 영상 1클립 + 라이브러리 + 배포</t>
        </is>
      </c>
    </row>
    <row r="40" ht="28" customHeight="1">
      <c r="A40" s="8" t="inlineStr">
        <is>
          <t>S등급 (도전)</t>
        </is>
      </c>
      <c r="B40" s="9" t="inlineStr">
        <is>
          <t>B등급 전체 + ③ Seedance 최종 15초 + ④ 역프롬프트 (F004)</t>
        </is>
      </c>
      <c r="C40" s="10">
        <f>D20+F25+F26+F27+G33+G34</f>
        <v/>
      </c>
      <c r="D40" s="10">
        <f>C40*1.5</f>
        <v/>
      </c>
      <c r="E40" s="32">
        <f>D40*C3</f>
        <v/>
      </c>
      <c r="F40" s="10">
        <f>D40+D14</f>
        <v/>
      </c>
      <c r="G40" s="10">
        <f>D40+515</f>
        <v/>
      </c>
      <c r="H40" s="9" t="inlineStr">
        <is>
          <t>역프롬프트 재생성 루프 포함 / Seedance 2.0 최대 길이 기준</t>
        </is>
      </c>
    </row>
    <row r="41">
      <c r="A41" s="36" t="inlineStr">
        <is>
          <t>★ 최종 신청 권장 (S등급 기준)</t>
        </is>
      </c>
      <c r="B41" s="23" t="n"/>
      <c r="C41" s="37">
        <f>C40</f>
        <v/>
      </c>
      <c r="D41" s="37">
        <f>D40</f>
        <v/>
      </c>
      <c r="E41" s="38">
        <f>E40</f>
        <v/>
      </c>
      <c r="F41" s="37">
        <f>F40</f>
        <v/>
      </c>
      <c r="G41" s="37">
        <f>G40</f>
        <v/>
      </c>
    </row>
    <row r="43">
      <c r="A43" s="26" t="inlineStr">
        <is>
          <t>⑥ 비용 절감 수칙 (참고)</t>
        </is>
      </c>
    </row>
    <row r="44">
      <c r="A44" s="39" t="inlineStr">
        <is>
          <t xml:space="preserve">  ① GPT Image 2 quality: medium 고정 — high 대비 약 75% 절감</t>
        </is>
      </c>
    </row>
    <row r="45">
      <c r="A45" s="39" t="inlineStr">
        <is>
          <t xml:space="preserve">  ② 개발 테스트는 Kling (저가) 우선, 중간점검·최종만 Seedance 2.0 사용</t>
        </is>
      </c>
    </row>
    <row r="46">
      <c r="A46" s="39" t="inlineStr">
        <is>
          <t xml:space="preserve">  ③ Claude 프롬프트는 간결하게 유지 — 불필요한 토큰 절감</t>
        </is>
      </c>
    </row>
    <row r="47">
      <c r="A47" s="39" t="inlineStr">
        <is>
          <t xml:space="preserve">  ④ fal.ai Hard Limit $50 설정 필수 — 대시보드 &gt; Billing &gt; Spend Limit</t>
        </is>
      </c>
    </row>
    <row r="48">
      <c r="A48" s="39" t="inlineStr">
        <is>
          <t xml:space="preserve">  ⑤ 주 1회 각 API 대시보드 사용량 확인 (OpenAI / fal.ai / Anthropic Console / AWS)</t>
        </is>
      </c>
    </row>
  </sheetData>
  <mergeCells count="22">
    <mergeCell ref="A37:I37"/>
    <mergeCell ref="A46:I46"/>
    <mergeCell ref="E14:I14"/>
    <mergeCell ref="A2:I2"/>
    <mergeCell ref="A47:I47"/>
    <mergeCell ref="A5:I5"/>
    <mergeCell ref="A41:B41"/>
    <mergeCell ref="A14:C14"/>
    <mergeCell ref="A23:I23"/>
    <mergeCell ref="A22:I22"/>
    <mergeCell ref="A20:C20"/>
    <mergeCell ref="A29:I29"/>
    <mergeCell ref="A43:I43"/>
    <mergeCell ref="A44:I44"/>
    <mergeCell ref="A31:I31"/>
    <mergeCell ref="A48:I48"/>
    <mergeCell ref="A35:B35"/>
    <mergeCell ref="A11:I11"/>
    <mergeCell ref="A28:B28"/>
    <mergeCell ref="A1:I1"/>
    <mergeCell ref="A45:I45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2026-06-30T03:56:09Z</dcterms:created>
  <dcterms:modified xmlns:dcterms="http://purl.org/dc/terms/" xmlns:xsi="http://www.w3.org/2001/XMLSchema-instance" xsi:type="dcterms:W3CDTF">2026-06-30T03:56:09Z</dcterms:modified>
</cp:coreProperties>
</file>