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요약" sheetId="1" state="visible" r:id="rId3"/>
    <sheet name="전체내역" sheetId="2" state="visible" r:id="rId4"/>
    <sheet name="A1" sheetId="3" state="visible" r:id="rId5"/>
    <sheet name="A2" sheetId="4" state="visible" r:id="rId6"/>
    <sheet name="B1" sheetId="5" state="visible" r:id="rId7"/>
    <sheet name="B2" sheetId="6" state="visible" r:id="rId8"/>
    <sheet name="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<sst xmlns="http://schemas.openxmlformats.org/spreadsheetml/2006/main" count="754" uniqueCount="191">
  <si>
    <r>
      <rPr>
        <b val="true"/>
        <sz val="16"/>
        <color rgb="FF2D4373"/>
        <rFont val="맑은 고딕"/>
        <family val="0"/>
        <charset val="1"/>
      </rPr>
      <t xml:space="preserve">KX </t>
    </r>
    <r>
      <rPr>
        <b val="true"/>
        <sz val="16"/>
        <color rgb="FF2D4373"/>
        <rFont val="Noto Sans CJK SC"/>
        <family val="2"/>
      </rPr>
      <t xml:space="preserve">인턴십 </t>
    </r>
    <r>
      <rPr>
        <b val="true"/>
        <sz val="16"/>
        <color rgb="FF2D4373"/>
        <rFont val="맑은 고딕"/>
        <family val="0"/>
        <charset val="1"/>
      </rPr>
      <t xml:space="preserve">· 1</t>
    </r>
    <r>
      <rPr>
        <b val="true"/>
        <sz val="16"/>
        <color rgb="FF2D4373"/>
        <rFont val="Noto Sans CJK SC"/>
        <family val="2"/>
      </rPr>
      <t xml:space="preserve">개월 예상비용 </t>
    </r>
    <r>
      <rPr>
        <b val="true"/>
        <sz val="16"/>
        <color rgb="FF2D4373"/>
        <rFont val="맑은 고딕"/>
        <family val="0"/>
        <charset val="1"/>
      </rPr>
      <t xml:space="preserve">(</t>
    </r>
    <r>
      <rPr>
        <b val="true"/>
        <sz val="16"/>
        <color rgb="FF2D4373"/>
        <rFont val="Noto Sans CJK SC"/>
        <family val="2"/>
      </rPr>
      <t xml:space="preserve">통합</t>
    </r>
    <r>
      <rPr>
        <b val="true"/>
        <sz val="16"/>
        <color rgb="FF2D4373"/>
        <rFont val="맑은 고딕"/>
        <family val="0"/>
        <charset val="1"/>
      </rPr>
      <t xml:space="preserve">)</t>
    </r>
  </si>
  <si>
    <r>
      <rPr>
        <sz val="10"/>
        <color rgb="FF6B7280"/>
        <rFont val="Noto Sans CJK SC"/>
        <family val="2"/>
      </rPr>
      <t xml:space="preserve">작성일 </t>
    </r>
    <r>
      <rPr>
        <sz val="10"/>
        <color rgb="FF6B7280"/>
        <rFont val="맑은 고딕"/>
        <family val="0"/>
        <charset val="1"/>
      </rPr>
      <t xml:space="preserve">2026-07-01  ·  </t>
    </r>
    <r>
      <rPr>
        <sz val="10"/>
        <color rgb="FF6B7280"/>
        <rFont val="Noto Sans CJK SC"/>
        <family val="2"/>
      </rPr>
      <t xml:space="preserve">대상 </t>
    </r>
    <r>
      <rPr>
        <sz val="10"/>
        <color rgb="FF6B7280"/>
        <rFont val="맑은 고딕"/>
        <family val="0"/>
        <charset val="1"/>
      </rPr>
      <t xml:space="preserve">5</t>
    </r>
    <r>
      <rPr>
        <sz val="10"/>
        <color rgb="FF6B7280"/>
        <rFont val="Noto Sans CJK SC"/>
        <family val="2"/>
      </rPr>
      <t xml:space="preserve">개 팀 </t>
    </r>
    <r>
      <rPr>
        <sz val="10"/>
        <color rgb="FF6B7280"/>
        <rFont val="맑은 고딕"/>
        <family val="0"/>
        <charset val="1"/>
      </rPr>
      <t xml:space="preserve">(A1·A2·B1·B2·C)  ·  </t>
    </r>
    <r>
      <rPr>
        <sz val="10"/>
        <color rgb="FF6B7280"/>
        <rFont val="Noto Sans CJK SC"/>
        <family val="2"/>
      </rPr>
      <t xml:space="preserve">청구기간 </t>
    </r>
    <r>
      <rPr>
        <sz val="10"/>
        <color rgb="FF6B7280"/>
        <rFont val="맑은 고딕"/>
        <family val="0"/>
        <charset val="1"/>
      </rPr>
      <t xml:space="preserve">1</t>
    </r>
    <r>
      <rPr>
        <sz val="10"/>
        <color rgb="FF6B7280"/>
        <rFont val="Noto Sans CJK SC"/>
        <family val="2"/>
      </rPr>
      <t xml:space="preserve">개월</t>
    </r>
  </si>
  <si>
    <r>
      <rPr>
        <b val="true"/>
        <sz val="10"/>
        <color rgb="FF1A1A2E"/>
        <rFont val="Noto Sans CJK SC"/>
        <family val="2"/>
      </rPr>
      <t xml:space="preserve">환율 </t>
    </r>
    <r>
      <rPr>
        <b val="true"/>
        <sz val="10"/>
        <color rgb="FF1A1A2E"/>
        <rFont val="맑은 고딕"/>
        <family val="0"/>
        <charset val="1"/>
      </rPr>
      <t xml:space="preserve">(KRW/USD)</t>
    </r>
  </si>
  <si>
    <t xml:space="preserve">← 전체내역에서 관리</t>
  </si>
  <si>
    <t xml:space="preserve">총 합계</t>
  </si>
  <si>
    <r>
      <rPr>
        <sz val="10"/>
        <color rgb="FFFFFFFF"/>
        <rFont val="Noto Sans CJK SC"/>
        <family val="2"/>
      </rPr>
      <t xml:space="preserve">  고정 구독 </t>
    </r>
    <r>
      <rPr>
        <sz val="10"/>
        <color rgb="FFFFFFFF"/>
        <rFont val="맑은 고딕"/>
        <family val="0"/>
        <charset val="1"/>
      </rPr>
      <t xml:space="preserve">= </t>
    </r>
    <r>
      <rPr>
        <sz val="10"/>
        <color rgb="FFFFFFFF"/>
        <rFont val="Noto Sans CJK SC"/>
        <family val="2"/>
      </rPr>
      <t xml:space="preserve">선불</t>
    </r>
    <r>
      <rPr>
        <sz val="10"/>
        <color rgb="FFFFFFFF"/>
        <rFont val="맑은 고딕"/>
        <family val="0"/>
        <charset val="1"/>
      </rPr>
      <t xml:space="preserve">·</t>
    </r>
    <r>
      <rPr>
        <sz val="10"/>
        <color rgb="FFFFFFFF"/>
        <rFont val="Noto Sans CJK SC"/>
        <family val="2"/>
      </rPr>
      <t xml:space="preserve">정액 </t>
    </r>
    <r>
      <rPr>
        <sz val="10"/>
        <color rgb="FFFFFFFF"/>
        <rFont val="맑은 고딕"/>
        <family val="0"/>
        <charset val="1"/>
      </rPr>
      <t xml:space="preserve">/ API·</t>
    </r>
    <r>
      <rPr>
        <sz val="10"/>
        <color rgb="FFFFFFFF"/>
        <rFont val="Noto Sans CJK SC"/>
        <family val="2"/>
      </rPr>
      <t xml:space="preserve">클라우드 </t>
    </r>
    <r>
      <rPr>
        <sz val="10"/>
        <color rgb="FFFFFFFF"/>
        <rFont val="맑은 고딕"/>
        <family val="0"/>
        <charset val="1"/>
      </rPr>
      <t xml:space="preserve">= </t>
    </r>
    <r>
      <rPr>
        <sz val="10"/>
        <color rgb="FFFFFFFF"/>
        <rFont val="Noto Sans CJK SC"/>
        <family val="2"/>
      </rPr>
      <t xml:space="preserve">후불</t>
    </r>
    <r>
      <rPr>
        <sz val="10"/>
        <color rgb="FFFFFFFF"/>
        <rFont val="맑은 고딕"/>
        <family val="0"/>
        <charset val="1"/>
      </rPr>
      <t xml:space="preserve">·</t>
    </r>
    <r>
      <rPr>
        <sz val="10"/>
        <color rgb="FFFFFFFF"/>
        <rFont val="Noto Sans CJK SC"/>
        <family val="2"/>
      </rPr>
      <t xml:space="preserve">사용량</t>
    </r>
  </si>
  <si>
    <t xml:space="preserve">■ 팀별 요약</t>
  </si>
  <si>
    <t xml:space="preserve">팀</t>
  </si>
  <si>
    <r>
      <rPr>
        <b val="true"/>
        <sz val="9"/>
        <color rgb="FFFFFFFF"/>
        <rFont val="Noto Sans CJK SC"/>
        <family val="2"/>
      </rPr>
      <t xml:space="preserve">선불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구독 </t>
    </r>
    <r>
      <rPr>
        <b val="true"/>
        <sz val="9"/>
        <color rgb="FFFFFFFF"/>
        <rFont val="맑은 고딕"/>
        <family val="0"/>
        <charset val="1"/>
      </rPr>
      <t xml:space="preserve">(USD)</t>
    </r>
  </si>
  <si>
    <r>
      <rPr>
        <b val="true"/>
        <sz val="9"/>
        <color rgb="FFFFFFFF"/>
        <rFont val="Noto Sans CJK SC"/>
        <family val="2"/>
      </rPr>
      <t xml:space="preserve">후불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사용량 </t>
    </r>
    <r>
      <rPr>
        <b val="true"/>
        <sz val="9"/>
        <color rgb="FFFFFFFF"/>
        <rFont val="맑은 고딕"/>
        <family val="0"/>
        <charset val="1"/>
      </rPr>
      <t xml:space="preserve">(USD)</t>
    </r>
  </si>
  <si>
    <r>
      <rPr>
        <b val="true"/>
        <sz val="9"/>
        <color rgb="FFFFFFFF"/>
        <rFont val="Noto Sans CJK SC"/>
        <family val="2"/>
      </rPr>
      <t xml:space="preserve">총 </t>
    </r>
    <r>
      <rPr>
        <b val="true"/>
        <sz val="9"/>
        <color rgb="FFFFFFFF"/>
        <rFont val="맑은 고딕"/>
        <family val="0"/>
        <charset val="1"/>
      </rPr>
      <t xml:space="preserve">USD</t>
    </r>
  </si>
  <si>
    <r>
      <rPr>
        <b val="true"/>
        <sz val="9"/>
        <color rgb="FFFFFFFF"/>
        <rFont val="Noto Sans CJK SC"/>
        <family val="2"/>
      </rPr>
      <t xml:space="preserve">총 </t>
    </r>
    <r>
      <rPr>
        <b val="true"/>
        <sz val="9"/>
        <color rgb="FFFFFFFF"/>
        <rFont val="맑은 고딕"/>
        <family val="0"/>
        <charset val="1"/>
      </rPr>
      <t xml:space="preserve">KRW</t>
    </r>
  </si>
  <si>
    <t xml:space="preserve">비중</t>
  </si>
  <si>
    <t xml:space="preserve">A1</t>
  </si>
  <si>
    <t xml:space="preserve">A2</t>
  </si>
  <si>
    <t xml:space="preserve">B1</t>
  </si>
  <si>
    <t xml:space="preserve">B2</t>
  </si>
  <si>
    <t xml:space="preserve">C</t>
  </si>
  <si>
    <t xml:space="preserve">합계</t>
  </si>
  <si>
    <t xml:space="preserve">■ 카테고리별 요약</t>
  </si>
  <si>
    <t xml:space="preserve">카테고리</t>
  </si>
  <si>
    <r>
      <rPr>
        <b val="true"/>
        <sz val="9"/>
        <color rgb="FFFFFFFF"/>
        <rFont val="Noto Sans CJK SC"/>
        <family val="2"/>
      </rPr>
      <t xml:space="preserve">월 합계 </t>
    </r>
    <r>
      <rPr>
        <b val="true"/>
        <sz val="9"/>
        <color rgb="FFFFFFFF"/>
        <rFont val="맑은 고딕"/>
        <family val="0"/>
        <charset val="1"/>
      </rPr>
      <t xml:space="preserve">(USD)</t>
    </r>
  </si>
  <si>
    <r>
      <rPr>
        <b val="true"/>
        <sz val="9"/>
        <color rgb="FFFFFFFF"/>
        <rFont val="Noto Sans CJK SC"/>
        <family val="2"/>
      </rPr>
      <t xml:space="preserve">월 합계 </t>
    </r>
    <r>
      <rPr>
        <b val="true"/>
        <sz val="9"/>
        <color rgb="FFFFFFFF"/>
        <rFont val="맑은 고딕"/>
        <family val="0"/>
        <charset val="1"/>
      </rPr>
      <t xml:space="preserve">(KRW)</t>
    </r>
  </si>
  <si>
    <t xml:space="preserve">고정구독</t>
  </si>
  <si>
    <r>
      <rPr>
        <sz val="10"/>
        <color rgb="FF1A1A2E"/>
        <rFont val="Noto Sans CJK SC"/>
        <family val="2"/>
      </rPr>
      <t xml:space="preserve">클라우드</t>
    </r>
    <r>
      <rPr>
        <sz val="10"/>
        <color rgb="FF1A1A2E"/>
        <rFont val="맑은 고딕"/>
        <family val="0"/>
        <charset val="1"/>
      </rPr>
      <t xml:space="preserve">/</t>
    </r>
    <r>
      <rPr>
        <sz val="10"/>
        <color rgb="FF1A1A2E"/>
        <rFont val="Noto Sans CJK SC"/>
        <family val="2"/>
      </rPr>
      <t xml:space="preserve">배포</t>
    </r>
  </si>
  <si>
    <t xml:space="preserve">LLM API</t>
  </si>
  <si>
    <t xml:space="preserve">이미지 생성</t>
  </si>
  <si>
    <t xml:space="preserve">영상 생성</t>
  </si>
  <si>
    <r>
      <rPr>
        <sz val="10"/>
        <color rgb="FF1A1A2E"/>
        <rFont val="맑은 고딕"/>
        <family val="0"/>
        <charset val="1"/>
      </rPr>
      <t xml:space="preserve">STT/</t>
    </r>
    <r>
      <rPr>
        <sz val="10"/>
        <color rgb="FF1A1A2E"/>
        <rFont val="Noto Sans CJK SC"/>
        <family val="2"/>
      </rPr>
      <t xml:space="preserve">자막</t>
    </r>
  </si>
  <si>
    <r>
      <rPr>
        <b val="true"/>
        <sz val="11"/>
        <color rgb="FF2D4373"/>
        <rFont val="Noto Sans CJK SC"/>
        <family val="2"/>
      </rPr>
      <t xml:space="preserve">★ 항목별 통합 내역 </t>
    </r>
    <r>
      <rPr>
        <b val="true"/>
        <sz val="11"/>
        <color rgb="FF2D4373"/>
        <rFont val="맑은 고딕"/>
        <family val="0"/>
        <charset val="1"/>
      </rPr>
      <t xml:space="preserve">(</t>
    </r>
    <r>
      <rPr>
        <b val="true"/>
        <sz val="11"/>
        <color rgb="FF2D4373"/>
        <rFont val="Noto Sans CJK SC"/>
        <family val="2"/>
      </rPr>
      <t xml:space="preserve">전 팀 합산</t>
    </r>
    <r>
      <rPr>
        <b val="true"/>
        <sz val="11"/>
        <color rgb="FF2D4373"/>
        <rFont val="맑은 고딕"/>
        <family val="0"/>
        <charset val="1"/>
      </rPr>
      <t xml:space="preserve">)</t>
    </r>
  </si>
  <si>
    <t xml:space="preserve">통합 항목</t>
  </si>
  <si>
    <r>
      <rPr>
        <b val="true"/>
        <sz val="9"/>
        <color rgb="FFFFFFFF"/>
        <rFont val="Noto Sans CJK SC"/>
        <family val="2"/>
      </rPr>
      <t xml:space="preserve">조달유형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과금</t>
    </r>
  </si>
  <si>
    <r>
      <rPr>
        <b val="true"/>
        <sz val="9"/>
        <color rgb="FFFFFFFF"/>
        <rFont val="Noto Sans CJK SC"/>
        <family val="2"/>
      </rPr>
      <t xml:space="preserve">규모 </t>
    </r>
    <r>
      <rPr>
        <b val="true"/>
        <sz val="9"/>
        <color rgb="FFFFFFFF"/>
        <rFont val="맑은 고딕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사용 팀</t>
    </r>
  </si>
  <si>
    <r>
      <rPr>
        <b val="true"/>
        <sz val="9"/>
        <color rgb="FFFFFFFF"/>
        <rFont val="Noto Sans CJK SC"/>
        <family val="2"/>
      </rPr>
      <t xml:space="preserve">용도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목적</t>
    </r>
  </si>
  <si>
    <t xml:space="preserve">Claude Team</t>
  </si>
  <si>
    <r>
      <rPr>
        <sz val="8"/>
        <color rgb="FF1A1A2E"/>
        <rFont val="Noto Sans CJK SC"/>
        <family val="2"/>
      </rPr>
      <t xml:space="preserve">좌석형
선불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정액</t>
    </r>
  </si>
  <si>
    <r>
      <rPr>
        <sz val="8"/>
        <color rgb="FF1A1A2E"/>
        <rFont val="맑은 고딕"/>
        <family val="0"/>
        <charset val="1"/>
      </rPr>
      <t xml:space="preserve">20</t>
    </r>
    <r>
      <rPr>
        <sz val="8"/>
        <color rgb="FF1A1A2E"/>
        <rFont val="Noto Sans CJK SC"/>
        <family val="2"/>
      </rPr>
      <t xml:space="preserve">석 </t>
    </r>
    <r>
      <rPr>
        <sz val="8"/>
        <color rgb="FF1A1A2E"/>
        <rFont val="맑은 고딕"/>
        <family val="0"/>
        <charset val="1"/>
      </rPr>
      <t xml:space="preserve">(</t>
    </r>
    <r>
      <rPr>
        <sz val="8"/>
        <color rgb="FF1A1A2E"/>
        <rFont val="Noto Sans CJK SC"/>
        <family val="2"/>
      </rPr>
      <t xml:space="preserve">팀당 </t>
    </r>
    <r>
      <rPr>
        <sz val="8"/>
        <color rgb="FF1A1A2E"/>
        <rFont val="맑은 고딕"/>
        <family val="0"/>
        <charset val="1"/>
      </rPr>
      <t xml:space="preserve">4</t>
    </r>
    <r>
      <rPr>
        <sz val="8"/>
        <color rgb="FF1A1A2E"/>
        <rFont val="Noto Sans CJK SC"/>
        <family val="2"/>
      </rPr>
      <t xml:space="preserve">석</t>
    </r>
    <r>
      <rPr>
        <sz val="8"/>
        <color rgb="FF1A1A2E"/>
        <rFont val="맑은 고딕"/>
        <family val="0"/>
        <charset val="1"/>
      </rPr>
      <t xml:space="preserve">, PM </t>
    </r>
    <r>
      <rPr>
        <sz val="8"/>
        <color rgb="FF1A1A2E"/>
        <rFont val="Noto Sans CJK SC"/>
        <family val="2"/>
      </rPr>
      <t xml:space="preserve">제외</t>
    </r>
    <r>
      <rPr>
        <sz val="8"/>
        <color rgb="FF1A1A2E"/>
        <rFont val="맑은 고딕"/>
        <family val="0"/>
        <charset val="1"/>
      </rPr>
      <t xml:space="preserve">)</t>
    </r>
  </si>
  <si>
    <r>
      <rPr>
        <sz val="8"/>
        <color rgb="FF1A1A2E"/>
        <rFont val="맑은 고딕"/>
        <family val="0"/>
        <charset val="1"/>
      </rPr>
      <t xml:space="preserve">AI </t>
    </r>
    <r>
      <rPr>
        <sz val="8"/>
        <color rgb="FF1A1A2E"/>
        <rFont val="Noto Sans CJK SC"/>
        <family val="2"/>
      </rPr>
      <t xml:space="preserve">코드 제안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오류 수정 실시간 지원 </t>
    </r>
    <r>
      <rPr>
        <sz val="8"/>
        <color rgb="FF1A1A2E"/>
        <rFont val="맑은 고딕"/>
        <family val="0"/>
        <charset val="1"/>
      </rPr>
      <t xml:space="preserve">· </t>
    </r>
    <r>
      <rPr>
        <sz val="8"/>
        <color rgb="FF1A1A2E"/>
        <rFont val="Noto Sans CJK SC"/>
        <family val="2"/>
      </rPr>
      <t xml:space="preserve">문서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에이전트 개발</t>
    </r>
  </si>
  <si>
    <t xml:space="preserve">Figma Professional</t>
  </si>
  <si>
    <r>
      <rPr>
        <sz val="8"/>
        <color rgb="FF1A1A2E"/>
        <rFont val="맑은 고딕"/>
        <family val="0"/>
        <charset val="1"/>
      </rPr>
      <t xml:space="preserve">13</t>
    </r>
    <r>
      <rPr>
        <sz val="8"/>
        <color rgb="FF1A1A2E"/>
        <rFont val="Noto Sans CJK SC"/>
        <family val="2"/>
      </rPr>
      <t xml:space="preserve">석 </t>
    </r>
    <r>
      <rPr>
        <sz val="8"/>
        <color rgb="FF1A1A2E"/>
        <rFont val="맑은 고딕"/>
        <family val="0"/>
        <charset val="1"/>
      </rPr>
      <t xml:space="preserve">(FE+UX/UI, C</t>
    </r>
    <r>
      <rPr>
        <sz val="8"/>
        <color rgb="FF1A1A2E"/>
        <rFont val="Noto Sans CJK SC"/>
        <family val="2"/>
      </rPr>
      <t xml:space="preserve">팀 </t>
    </r>
    <r>
      <rPr>
        <sz val="8"/>
        <color rgb="FF1A1A2E"/>
        <rFont val="맑은 고딕"/>
        <family val="0"/>
        <charset val="1"/>
      </rPr>
      <t xml:space="preserve">PM </t>
    </r>
    <r>
      <rPr>
        <sz val="8"/>
        <color rgb="FF1A1A2E"/>
        <rFont val="Noto Sans CJK SC"/>
        <family val="2"/>
      </rPr>
      <t xml:space="preserve">포함</t>
    </r>
    <r>
      <rPr>
        <sz val="8"/>
        <color rgb="FF1A1A2E"/>
        <rFont val="맑은 고딕"/>
        <family val="0"/>
        <charset val="1"/>
      </rPr>
      <t xml:space="preserve">)</t>
    </r>
  </si>
  <si>
    <r>
      <rPr>
        <sz val="8"/>
        <color rgb="FF1A1A2E"/>
        <rFont val="Noto Sans CJK SC"/>
        <family val="2"/>
      </rPr>
      <t xml:space="preserve">서비스 화면 설계 및 팀원 실시간 공동 편집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공유</t>
    </r>
  </si>
  <si>
    <t xml:space="preserve">Vercel Pro</t>
  </si>
  <si>
    <r>
      <rPr>
        <sz val="8"/>
        <color rgb="FF1A1A2E"/>
        <rFont val="Noto Sans CJK SC"/>
        <family val="2"/>
      </rPr>
      <t xml:space="preserve">팀별 인스턴스
선불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정액</t>
    </r>
  </si>
  <si>
    <r>
      <rPr>
        <sz val="8"/>
        <color rgb="FF1A1A2E"/>
        <rFont val="맑은 고딕"/>
        <family val="0"/>
        <charset val="1"/>
      </rPr>
      <t xml:space="preserve">5</t>
    </r>
    <r>
      <rPr>
        <sz val="8"/>
        <color rgb="FF1A1A2E"/>
        <rFont val="Noto Sans CJK SC"/>
        <family val="2"/>
      </rPr>
      <t xml:space="preserve">개 </t>
    </r>
    <r>
      <rPr>
        <sz val="8"/>
        <color rgb="FF1A1A2E"/>
        <rFont val="맑은 고딕"/>
        <family val="0"/>
        <charset val="1"/>
      </rPr>
      <t xml:space="preserve">(</t>
    </r>
    <r>
      <rPr>
        <sz val="8"/>
        <color rgb="FF1A1A2E"/>
        <rFont val="Noto Sans CJK SC"/>
        <family val="2"/>
      </rPr>
      <t xml:space="preserve">팀당 </t>
    </r>
    <r>
      <rPr>
        <sz val="8"/>
        <color rgb="FF1A1A2E"/>
        <rFont val="맑은 고딕"/>
        <family val="0"/>
        <charset val="1"/>
      </rPr>
      <t xml:space="preserve">1)</t>
    </r>
  </si>
  <si>
    <t xml:space="preserve">프론트엔드 자동 배포 및 데모 운영 환경</t>
  </si>
  <si>
    <t xml:space="preserve">ElevenLabs</t>
  </si>
  <si>
    <r>
      <rPr>
        <sz val="8"/>
        <color rgb="FF1A1A2E"/>
        <rFont val="Noto Sans CJK SC"/>
        <family val="2"/>
      </rPr>
      <t xml:space="preserve">좌석형</t>
    </r>
    <r>
      <rPr>
        <sz val="8"/>
        <color rgb="FF1A1A2E"/>
        <rFont val="맑은 고딕"/>
        <family val="0"/>
        <charset val="1"/>
      </rPr>
      <t xml:space="preserve">(</t>
    </r>
    <r>
      <rPr>
        <sz val="8"/>
        <color rgb="FF1A1A2E"/>
        <rFont val="Noto Sans CJK SC"/>
        <family val="2"/>
      </rPr>
      <t xml:space="preserve">키 공유</t>
    </r>
    <r>
      <rPr>
        <sz val="8"/>
        <color rgb="FF1A1A2E"/>
        <rFont val="맑은 고딕"/>
        <family val="0"/>
        <charset val="1"/>
      </rPr>
      <t xml:space="preserve">)
</t>
    </r>
    <r>
      <rPr>
        <sz val="8"/>
        <color rgb="FF1A1A2E"/>
        <rFont val="Noto Sans CJK SC"/>
        <family val="2"/>
      </rPr>
      <t xml:space="preserve">선불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정액</t>
    </r>
  </si>
  <si>
    <r>
      <rPr>
        <sz val="8"/>
        <color rgb="FF1A1A2E"/>
        <rFont val="맑은 고딕"/>
        <family val="0"/>
        <charset val="1"/>
      </rPr>
      <t xml:space="preserve">1</t>
    </r>
    <r>
      <rPr>
        <sz val="8"/>
        <color rgb="FF1A1A2E"/>
        <rFont val="Noto Sans CJK SC"/>
        <family val="2"/>
      </rPr>
      <t xml:space="preserve">개 </t>
    </r>
    <r>
      <rPr>
        <sz val="8"/>
        <color rgb="FF1A1A2E"/>
        <rFont val="맑은 고딕"/>
        <family val="0"/>
        <charset val="1"/>
      </rPr>
      <t xml:space="preserve">(C</t>
    </r>
    <r>
      <rPr>
        <sz val="8"/>
        <color rgb="FF1A1A2E"/>
        <rFont val="Noto Sans CJK SC"/>
        <family val="2"/>
      </rPr>
      <t xml:space="preserve">팀</t>
    </r>
    <r>
      <rPr>
        <sz val="8"/>
        <color rgb="FF1A1A2E"/>
        <rFont val="맑은 고딕"/>
        <family val="0"/>
        <charset val="1"/>
      </rPr>
      <t xml:space="preserve">)</t>
    </r>
  </si>
  <si>
    <r>
      <rPr>
        <sz val="8"/>
        <color rgb="FF1A1A2E"/>
        <rFont val="Noto Sans CJK SC"/>
        <family val="2"/>
      </rPr>
      <t xml:space="preserve">영상 장면에 맞는 효과음 생성 </t>
    </r>
    <r>
      <rPr>
        <sz val="8"/>
        <color rgb="FF1A1A2E"/>
        <rFont val="맑은 고딕"/>
        <family val="0"/>
        <charset val="1"/>
      </rPr>
      <t xml:space="preserve">API</t>
    </r>
  </si>
  <si>
    <t xml:space="preserve">AWS EC2</t>
  </si>
  <si>
    <r>
      <rPr>
        <sz val="8"/>
        <color rgb="FF1A1A2E"/>
        <rFont val="Noto Sans CJK SC"/>
        <family val="2"/>
      </rPr>
      <t xml:space="preserve">팀별 인스턴스
후불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사용량</t>
    </r>
  </si>
  <si>
    <t xml:space="preserve">백엔드 서버 운영 및 파일 저장</t>
  </si>
  <si>
    <t xml:space="preserve">Claude Sonnet API</t>
  </si>
  <si>
    <r>
      <rPr>
        <sz val="8"/>
        <color rgb="FF1A1A2E"/>
        <rFont val="맑은 고딕"/>
        <family val="0"/>
        <charset val="1"/>
      </rPr>
      <t xml:space="preserve">API </t>
    </r>
    <r>
      <rPr>
        <sz val="8"/>
        <color rgb="FF1A1A2E"/>
        <rFont val="Noto Sans CJK SC"/>
        <family val="2"/>
      </rPr>
      <t xml:space="preserve">키형
후불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사용량</t>
    </r>
  </si>
  <si>
    <t xml:space="preserve">A1·A2·B1·B2</t>
  </si>
  <si>
    <r>
      <rPr>
        <sz val="8"/>
        <color rgb="FF1A1A2E"/>
        <rFont val="Noto Sans CJK SC"/>
        <family val="2"/>
      </rPr>
      <t xml:space="preserve">프롬프트 해석</t>
    </r>
    <r>
      <rPr>
        <sz val="8"/>
        <color rgb="FF1A1A2E"/>
        <rFont val="맑은 고딕"/>
        <family val="0"/>
        <charset val="1"/>
      </rPr>
      <t xml:space="preserve">·</t>
    </r>
    <r>
      <rPr>
        <sz val="8"/>
        <color rgb="FF1A1A2E"/>
        <rFont val="Noto Sans CJK SC"/>
        <family val="2"/>
      </rPr>
      <t xml:space="preserve">역프롬프트 및 영상 프롬프트 생성</t>
    </r>
  </si>
  <si>
    <t xml:space="preserve">GPT-4.1 vision</t>
  </si>
  <si>
    <t xml:space="preserve">A1·B1·B2</t>
  </si>
  <si>
    <t xml:space="preserve">이미지 분석 및 컷 생성 역프롬프트</t>
  </si>
  <si>
    <t xml:space="preserve">GPT Image 2</t>
  </si>
  <si>
    <t xml:space="preserve">A1·A2</t>
  </si>
  <si>
    <t xml:space="preserve">텍스트 설명 기반 이미지 생성</t>
  </si>
  <si>
    <t xml:space="preserve">Gemini 3.5 flash image</t>
  </si>
  <si>
    <t xml:space="preserve">B1·B2</t>
  </si>
  <si>
    <t xml:space="preserve">fal.ai (Kling·Seedance)</t>
  </si>
  <si>
    <r>
      <rPr>
        <sz val="8"/>
        <color rgb="FF1A1A2E"/>
        <rFont val="맑은 고딕"/>
        <family val="0"/>
        <charset val="1"/>
      </rPr>
      <t xml:space="preserve">A1·A2 (</t>
    </r>
    <r>
      <rPr>
        <sz val="8"/>
        <color rgb="FF1A1A2E"/>
        <rFont val="Noto Sans CJK SC"/>
        <family val="2"/>
      </rPr>
      <t xml:space="preserve">한도 </t>
    </r>
    <r>
      <rPr>
        <sz val="8"/>
        <color rgb="FF1A1A2E"/>
        <rFont val="맑은 고딕"/>
        <family val="0"/>
        <charset val="1"/>
      </rPr>
      <t xml:space="preserve">$100)</t>
    </r>
  </si>
  <si>
    <t xml:space="preserve">스토리보드 기반 영상 클립 생성</t>
  </si>
  <si>
    <t xml:space="preserve">OpenAI Whisper</t>
  </si>
  <si>
    <r>
      <rPr>
        <sz val="8"/>
        <color rgb="FF1A1A2E"/>
        <rFont val="맑은 고딕"/>
        <family val="0"/>
        <charset val="1"/>
      </rPr>
      <t xml:space="preserve">C</t>
    </r>
    <r>
      <rPr>
        <sz val="8"/>
        <color rgb="FF1A1A2E"/>
        <rFont val="Noto Sans CJK SC"/>
        <family val="2"/>
      </rPr>
      <t xml:space="preserve">팀</t>
    </r>
  </si>
  <si>
    <r>
      <rPr>
        <sz val="8"/>
        <color rgb="FF1A1A2E"/>
        <rFont val="Noto Sans CJK SC"/>
        <family val="2"/>
      </rPr>
      <t xml:space="preserve">기본 음성 인식</t>
    </r>
    <r>
      <rPr>
        <sz val="8"/>
        <color rgb="FF1A1A2E"/>
        <rFont val="맑은 고딕"/>
        <family val="0"/>
        <charset val="1"/>
      </rPr>
      <t xml:space="preserve">(STT) </t>
    </r>
    <r>
      <rPr>
        <sz val="8"/>
        <color rgb="FF1A1A2E"/>
        <rFont val="Noto Sans CJK SC"/>
        <family val="2"/>
      </rPr>
      <t xml:space="preserve">및 자동 자막</t>
    </r>
  </si>
  <si>
    <t xml:space="preserve">AssemblyAI</t>
  </si>
  <si>
    <r>
      <rPr>
        <sz val="8"/>
        <color rgb="FF1A1A2E"/>
        <rFont val="Noto Sans CJK SC"/>
        <family val="2"/>
      </rPr>
      <t xml:space="preserve">정밀 자막 생성 및 </t>
    </r>
    <r>
      <rPr>
        <sz val="8"/>
        <color rgb="FF1A1A2E"/>
        <rFont val="맑은 고딕"/>
        <family val="0"/>
        <charset val="1"/>
      </rPr>
      <t xml:space="preserve">STT </t>
    </r>
    <r>
      <rPr>
        <sz val="8"/>
        <color rgb="FF1A1A2E"/>
        <rFont val="Noto Sans CJK SC"/>
        <family val="2"/>
      </rPr>
      <t xml:space="preserve">성능 비교</t>
    </r>
  </si>
  <si>
    <r>
      <rPr>
        <b val="true"/>
        <sz val="13"/>
        <color rgb="FF2D4373"/>
        <rFont val="Noto Sans CJK SC"/>
        <family val="2"/>
      </rPr>
      <t xml:space="preserve">전체내역 </t>
    </r>
    <r>
      <rPr>
        <b val="true"/>
        <sz val="13"/>
        <color rgb="FF2D4373"/>
        <rFont val="맑은 고딕"/>
        <family val="0"/>
        <charset val="1"/>
      </rPr>
      <t xml:space="preserve">(</t>
    </r>
    <r>
      <rPr>
        <b val="true"/>
        <sz val="13"/>
        <color rgb="FF2D4373"/>
        <rFont val="Noto Sans CJK SC"/>
        <family val="2"/>
      </rPr>
      <t xml:space="preserve">정규화 마스터</t>
    </r>
    <r>
      <rPr>
        <b val="true"/>
        <sz val="13"/>
        <color rgb="FF2D4373"/>
        <rFont val="맑은 고딕"/>
        <family val="0"/>
        <charset val="1"/>
      </rPr>
      <t xml:space="preserve">) — </t>
    </r>
    <r>
      <rPr>
        <b val="true"/>
        <sz val="13"/>
        <color rgb="FF2D4373"/>
        <rFont val="Noto Sans CJK SC"/>
        <family val="2"/>
      </rPr>
      <t xml:space="preserve">필터</t>
    </r>
    <r>
      <rPr>
        <b val="true"/>
        <sz val="13"/>
        <color rgb="FF2D4373"/>
        <rFont val="맑은 고딕"/>
        <family val="0"/>
        <charset val="1"/>
      </rPr>
      <t xml:space="preserve">·</t>
    </r>
    <r>
      <rPr>
        <b val="true"/>
        <sz val="13"/>
        <color rgb="FF2D4373"/>
        <rFont val="Noto Sans CJK SC"/>
        <family val="2"/>
      </rPr>
      <t xml:space="preserve">집계용</t>
    </r>
  </si>
  <si>
    <r>
      <rPr>
        <b val="true"/>
        <sz val="10"/>
        <color rgb="FF1A1A2E"/>
        <rFont val="Noto Sans CJK SC"/>
        <family val="2"/>
      </rPr>
      <t xml:space="preserve">환율</t>
    </r>
    <r>
      <rPr>
        <b val="true"/>
        <sz val="10"/>
        <color rgb="FF1A1A2E"/>
        <rFont val="맑은 고딕"/>
        <family val="0"/>
        <charset val="1"/>
      </rPr>
      <t xml:space="preserve">(KRW/USD)</t>
    </r>
  </si>
  <si>
    <r>
      <rPr>
        <sz val="9"/>
        <color rgb="FF9A6B00"/>
        <rFont val="Noto Sans CJK SC"/>
        <family val="2"/>
      </rPr>
      <t xml:space="preserve">← 제출 시점 환율로 갱신 </t>
    </r>
    <r>
      <rPr>
        <sz val="9"/>
        <color rgb="FF9A6B00"/>
        <rFont val="맑은 고딕"/>
        <family val="0"/>
        <charset val="1"/>
      </rPr>
      <t xml:space="preserve">(</t>
    </r>
    <r>
      <rPr>
        <sz val="9"/>
        <color rgb="FF9A6B00"/>
        <rFont val="Noto Sans CJK SC"/>
        <family val="2"/>
      </rPr>
      <t xml:space="preserve">전 시트 </t>
    </r>
    <r>
      <rPr>
        <sz val="9"/>
        <color rgb="FF9A6B00"/>
        <rFont val="맑은 고딕"/>
        <family val="0"/>
        <charset val="1"/>
      </rPr>
      <t xml:space="preserve">KRW </t>
    </r>
    <r>
      <rPr>
        <sz val="9"/>
        <color rgb="FF9A6B00"/>
        <rFont val="Noto Sans CJK SC"/>
        <family val="2"/>
      </rPr>
      <t xml:space="preserve">자동 반영</t>
    </r>
    <r>
      <rPr>
        <sz val="9"/>
        <color rgb="FF9A6B00"/>
        <rFont val="맑은 고딕"/>
        <family val="0"/>
        <charset val="1"/>
      </rPr>
      <t xml:space="preserve">)</t>
    </r>
  </si>
  <si>
    <t xml:space="preserve">통합항목</t>
  </si>
  <si>
    <t xml:space="preserve">세부항목</t>
  </si>
  <si>
    <t xml:space="preserve">조달유형</t>
  </si>
  <si>
    <t xml:space="preserve">과금</t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</si>
  <si>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맑은 고딕"/>
        <family val="0"/>
        <charset val="1"/>
      </rPr>
      <t xml:space="preserve">(USD)</t>
    </r>
  </si>
  <si>
    <t xml:space="preserve">수량</t>
  </si>
  <si>
    <t xml:space="preserve">단위</t>
  </si>
  <si>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맑은 고딕"/>
        <family val="0"/>
        <charset val="1"/>
      </rPr>
      <t xml:space="preserve">(USD)</t>
    </r>
  </si>
  <si>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맑은 고딕"/>
        <family val="0"/>
        <charset val="1"/>
      </rPr>
      <t xml:space="preserve">(KRW)</t>
    </r>
  </si>
  <si>
    <r>
      <rPr>
        <b val="true"/>
        <sz val="10"/>
        <color rgb="FFFFFFFF"/>
        <rFont val="Noto Sans CJK SC"/>
        <family val="2"/>
      </rPr>
      <t xml:space="preserve">용도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목적</t>
    </r>
  </si>
  <si>
    <t xml:space="preserve">산출근거</t>
  </si>
  <si>
    <t xml:space="preserve">좌석형</t>
  </si>
  <si>
    <t xml:space="preserve">선불</t>
  </si>
  <si>
    <t xml:space="preserve">석</t>
  </si>
  <si>
    <r>
      <rPr>
        <sz val="9"/>
        <color rgb="FF1A1A2E"/>
        <rFont val="맑은 고딕"/>
        <family val="0"/>
        <charset val="1"/>
      </rPr>
      <t xml:space="preserve">AI </t>
    </r>
    <r>
      <rPr>
        <sz val="9"/>
        <color rgb="FF1A1A2E"/>
        <rFont val="Noto Sans CJK SC"/>
        <family val="2"/>
      </rPr>
      <t xml:space="preserve">코드 제안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오류 수정 실시간 지원</t>
    </r>
    <r>
      <rPr>
        <sz val="9"/>
        <color rgb="FF1A1A2E"/>
        <rFont val="맑은 고딕"/>
        <family val="0"/>
        <charset val="1"/>
      </rPr>
      <t xml:space="preserve">, </t>
    </r>
    <r>
      <rPr>
        <sz val="9"/>
        <color rgb="FF1A1A2E"/>
        <rFont val="Noto Sans CJK SC"/>
        <family val="2"/>
      </rPr>
      <t xml:space="preserve">문서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에이전트 개발</t>
    </r>
  </si>
  <si>
    <r>
      <rPr>
        <sz val="8"/>
        <color rgb="FF6B7280"/>
        <rFont val="맑은 고딕"/>
        <family val="0"/>
        <charset val="1"/>
      </rPr>
      <t xml:space="preserve">PM </t>
    </r>
    <r>
      <rPr>
        <sz val="8"/>
        <color rgb="FF6B7280"/>
        <rFont val="Noto Sans CJK SC"/>
        <family val="2"/>
      </rPr>
      <t xml:space="preserve">제외 </t>
    </r>
    <r>
      <rPr>
        <sz val="8"/>
        <color rgb="FF6B7280"/>
        <rFont val="맑은 고딕"/>
        <family val="0"/>
        <charset val="1"/>
      </rPr>
      <t xml:space="preserve">4</t>
    </r>
    <r>
      <rPr>
        <sz val="8"/>
        <color rgb="FF6B7280"/>
        <rFont val="Noto Sans CJK SC"/>
        <family val="2"/>
      </rPr>
      <t xml:space="preserve">석</t>
    </r>
  </si>
  <si>
    <r>
      <rPr>
        <sz val="9"/>
        <color rgb="FF1A1A2E"/>
        <rFont val="맑은 고딕"/>
        <family val="0"/>
        <charset val="1"/>
      </rPr>
      <t xml:space="preserve">FE 1 + UX/UI 1, </t>
    </r>
    <r>
      <rPr>
        <sz val="9"/>
        <color rgb="FF1A1A2E"/>
        <rFont val="Noto Sans CJK SC"/>
        <family val="2"/>
      </rPr>
      <t xml:space="preserve">실시간 공동 디자인</t>
    </r>
  </si>
  <si>
    <t xml:space="preserve">팀별 인스턴스</t>
  </si>
  <si>
    <t xml:space="preserve">개</t>
  </si>
  <si>
    <t xml:space="preserve">코드 업로드 시 자동 웹 배포</t>
  </si>
  <si>
    <r>
      <rPr>
        <sz val="9"/>
        <color rgb="FF1A1A2E"/>
        <rFont val="Noto Sans CJK SC"/>
        <family val="2"/>
      </rPr>
      <t xml:space="preserve">클라우드</t>
    </r>
    <r>
      <rPr>
        <sz val="9"/>
        <color rgb="FF1A1A2E"/>
        <rFont val="맑은 고딕"/>
        <family val="0"/>
        <charset val="1"/>
      </rPr>
      <t xml:space="preserve">/</t>
    </r>
    <r>
      <rPr>
        <sz val="9"/>
        <color rgb="FF1A1A2E"/>
        <rFont val="Noto Sans CJK SC"/>
        <family val="2"/>
      </rPr>
      <t xml:space="preserve">배포</t>
    </r>
  </si>
  <si>
    <r>
      <rPr>
        <sz val="9"/>
        <color rgb="FF1A1A2E"/>
        <rFont val="맑은 고딕"/>
        <family val="0"/>
        <charset val="1"/>
      </rPr>
      <t xml:space="preserve">AWS EC2 (</t>
    </r>
    <r>
      <rPr>
        <sz val="9"/>
        <color rgb="FF1A1A2E"/>
        <rFont val="Noto Sans CJK SC"/>
        <family val="2"/>
      </rPr>
      <t xml:space="preserve">예비 예산</t>
    </r>
    <r>
      <rPr>
        <sz val="9"/>
        <color rgb="FF1A1A2E"/>
        <rFont val="맑은 고딕"/>
        <family val="0"/>
        <charset val="1"/>
      </rPr>
      <t xml:space="preserve">)</t>
    </r>
  </si>
  <si>
    <t xml:space="preserve">후불</t>
  </si>
  <si>
    <r>
      <rPr>
        <sz val="9"/>
        <color rgb="FF1A1A2E"/>
        <rFont val="맑은 고딕"/>
        <family val="0"/>
        <charset val="1"/>
      </rPr>
      <t xml:space="preserve">Free Tier </t>
    </r>
    <r>
      <rPr>
        <sz val="9"/>
        <color rgb="FF1A1A2E"/>
        <rFont val="Noto Sans CJK SC"/>
        <family val="2"/>
      </rPr>
      <t xml:space="preserve">만료 대비 예비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백엔드 운영</t>
    </r>
  </si>
  <si>
    <r>
      <rPr>
        <sz val="8"/>
        <color rgb="FF6B7280"/>
        <rFont val="Noto Sans CJK SC"/>
        <family val="2"/>
      </rPr>
      <t xml:space="preserve">상한 예비</t>
    </r>
    <r>
      <rPr>
        <sz val="8"/>
        <color rgb="FF6B7280"/>
        <rFont val="맑은 고딕"/>
        <family val="0"/>
        <charset val="1"/>
      </rPr>
      <t xml:space="preserve">, </t>
    </r>
    <r>
      <rPr>
        <sz val="8"/>
        <color rgb="FF6B7280"/>
        <rFont val="Noto Sans CJK SC"/>
        <family val="2"/>
      </rPr>
      <t xml:space="preserve">실사용 정산</t>
    </r>
  </si>
  <si>
    <r>
      <rPr>
        <sz val="9"/>
        <color rgb="FF1A1A2E"/>
        <rFont val="맑은 고딕"/>
        <family val="0"/>
        <charset val="1"/>
      </rPr>
      <t xml:space="preserve">Claude Sonnet — </t>
    </r>
    <r>
      <rPr>
        <sz val="9"/>
        <color rgb="FF1A1A2E"/>
        <rFont val="Noto Sans CJK SC"/>
        <family val="2"/>
      </rPr>
      <t xml:space="preserve">프롬프트 보조</t>
    </r>
  </si>
  <si>
    <r>
      <rPr>
        <sz val="9"/>
        <color rgb="FF1A1A2E"/>
        <rFont val="맑은 고딕"/>
        <family val="0"/>
        <charset val="1"/>
      </rPr>
      <t xml:space="preserve">API </t>
    </r>
    <r>
      <rPr>
        <sz val="9"/>
        <color rgb="FF1A1A2E"/>
        <rFont val="Noto Sans CJK SC"/>
        <family val="2"/>
      </rPr>
      <t xml:space="preserve">키형</t>
    </r>
  </si>
  <si>
    <t xml:space="preserve">호출</t>
  </si>
  <si>
    <r>
      <rPr>
        <sz val="9"/>
        <color rgb="FF1A1A2E"/>
        <rFont val="Noto Sans CJK SC"/>
        <family val="2"/>
      </rPr>
      <t xml:space="preserve">프롬프트 해석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역프롬프트 생성</t>
    </r>
  </si>
  <si>
    <r>
      <rPr>
        <sz val="8"/>
        <color rgb="FF6B7280"/>
        <rFont val="맑은 고딕"/>
        <family val="0"/>
        <charset val="1"/>
      </rPr>
      <t xml:space="preserve">2000/600</t>
    </r>
    <r>
      <rPr>
        <sz val="8"/>
        <color rgb="FF6B7280"/>
        <rFont val="Noto Sans CJK SC"/>
        <family val="2"/>
      </rPr>
      <t xml:space="preserve">토큰</t>
    </r>
    <r>
      <rPr>
        <sz val="8"/>
        <color rgb="FF6B7280"/>
        <rFont val="맑은 고딕"/>
        <family val="0"/>
        <charset val="1"/>
      </rPr>
      <t xml:space="preserve">, $3/$15·1M</t>
    </r>
  </si>
  <si>
    <r>
      <rPr>
        <sz val="9"/>
        <color rgb="FF1A1A2E"/>
        <rFont val="Noto Sans CJK SC"/>
        <family val="2"/>
      </rPr>
      <t xml:space="preserve">이미지 분석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역프롬프트</t>
    </r>
  </si>
  <si>
    <r>
      <rPr>
        <sz val="8"/>
        <color rgb="FF6B7280"/>
        <rFont val="맑은 고딕"/>
        <family val="0"/>
        <charset val="1"/>
      </rPr>
      <t xml:space="preserve">2000/600</t>
    </r>
    <r>
      <rPr>
        <sz val="8"/>
        <color rgb="FF6B7280"/>
        <rFont val="Noto Sans CJK SC"/>
        <family val="2"/>
      </rPr>
      <t xml:space="preserve">토큰</t>
    </r>
    <r>
      <rPr>
        <sz val="8"/>
        <color rgb="FF6B7280"/>
        <rFont val="맑은 고딕"/>
        <family val="0"/>
        <charset val="1"/>
      </rPr>
      <t xml:space="preserve">, $2/$8·1M</t>
    </r>
  </si>
  <si>
    <t xml:space="preserve">GPT Image 2 Low</t>
  </si>
  <si>
    <t xml:space="preserve">장</t>
  </si>
  <si>
    <r>
      <rPr>
        <sz val="9"/>
        <color rgb="FF1A1A2E"/>
        <rFont val="Noto Sans CJK SC"/>
        <family val="2"/>
      </rPr>
      <t xml:space="preserve">빠른 반복 테스트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기능 검증</t>
    </r>
  </si>
  <si>
    <t xml:space="preserve">GPT Image 2 Medium</t>
  </si>
  <si>
    <r>
      <rPr>
        <sz val="9"/>
        <color rgb="FF1A1A2E"/>
        <rFont val="Noto Sans CJK SC"/>
        <family val="2"/>
      </rPr>
      <t xml:space="preserve">품질 검증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기능 테스트</t>
    </r>
  </si>
  <si>
    <t xml:space="preserve">GPT Image 2 High</t>
  </si>
  <si>
    <r>
      <rPr>
        <sz val="9"/>
        <color rgb="FF1A1A2E"/>
        <rFont val="Noto Sans CJK SC"/>
        <family val="2"/>
      </rPr>
      <t xml:space="preserve">최종 시연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발표용 고품질</t>
    </r>
  </si>
  <si>
    <r>
      <rPr>
        <sz val="9"/>
        <color rgb="FF1A1A2E"/>
        <rFont val="맑은 고딕"/>
        <family val="0"/>
        <charset val="1"/>
      </rPr>
      <t xml:space="preserve">fal.ai Kling — </t>
    </r>
    <r>
      <rPr>
        <sz val="9"/>
        <color rgb="FF1A1A2E"/>
        <rFont val="Noto Sans CJK SC"/>
        <family val="2"/>
      </rPr>
      <t xml:space="preserve">개발 테스트</t>
    </r>
    <r>
      <rPr>
        <sz val="9"/>
        <color rgb="FF1A1A2E"/>
        <rFont val="맑은 고딕"/>
        <family val="0"/>
        <charset val="1"/>
      </rPr>
      <t xml:space="preserve">(5</t>
    </r>
    <r>
      <rPr>
        <sz val="9"/>
        <color rgb="FF1A1A2E"/>
        <rFont val="Noto Sans CJK SC"/>
        <family val="2"/>
      </rPr>
      <t xml:space="preserve">초</t>
    </r>
    <r>
      <rPr>
        <sz val="9"/>
        <color rgb="FF1A1A2E"/>
        <rFont val="맑은 고딕"/>
        <family val="0"/>
        <charset val="1"/>
      </rPr>
      <t xml:space="preserve">)</t>
    </r>
  </si>
  <si>
    <t xml:space="preserve">초</t>
  </si>
  <si>
    <r>
      <rPr>
        <sz val="9"/>
        <color rgb="FF1A1A2E"/>
        <rFont val="Noto Sans CJK SC"/>
        <family val="2"/>
      </rPr>
      <t xml:space="preserve">저비용 반복 테스트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오류 조기 발견</t>
    </r>
  </si>
  <si>
    <r>
      <rPr>
        <sz val="8"/>
        <color rgb="FF6B7280"/>
        <rFont val="맑은 고딕"/>
        <family val="0"/>
        <charset val="1"/>
      </rPr>
      <t xml:space="preserve">8</t>
    </r>
    <r>
      <rPr>
        <sz val="8"/>
        <color rgb="FF6B7280"/>
        <rFont val="Noto Sans CJK SC"/>
        <family val="2"/>
      </rPr>
      <t xml:space="preserve">세트</t>
    </r>
    <r>
      <rPr>
        <sz val="8"/>
        <color rgb="FF6B7280"/>
        <rFont val="맑은 고딕"/>
        <family val="0"/>
        <charset val="1"/>
      </rPr>
      <t xml:space="preserve">×5</t>
    </r>
    <r>
      <rPr>
        <sz val="8"/>
        <color rgb="FF6B7280"/>
        <rFont val="Noto Sans CJK SC"/>
        <family val="2"/>
      </rPr>
      <t xml:space="preserve">초</t>
    </r>
  </si>
  <si>
    <r>
      <rPr>
        <sz val="9"/>
        <color rgb="FF1A1A2E"/>
        <rFont val="맑은 고딕"/>
        <family val="0"/>
        <charset val="1"/>
      </rPr>
      <t xml:space="preserve">fal.ai Seedance — 2</t>
    </r>
    <r>
      <rPr>
        <sz val="9"/>
        <color rgb="FF1A1A2E"/>
        <rFont val="Noto Sans CJK SC"/>
        <family val="2"/>
      </rPr>
      <t xml:space="preserve">주차 품질</t>
    </r>
    <r>
      <rPr>
        <sz val="9"/>
        <color rgb="FF1A1A2E"/>
        <rFont val="맑은 고딕"/>
        <family val="0"/>
        <charset val="1"/>
      </rPr>
      <t xml:space="preserve">(5</t>
    </r>
    <r>
      <rPr>
        <sz val="9"/>
        <color rgb="FF1A1A2E"/>
        <rFont val="Noto Sans CJK SC"/>
        <family val="2"/>
      </rPr>
      <t xml:space="preserve">초</t>
    </r>
    <r>
      <rPr>
        <sz val="9"/>
        <color rgb="FF1A1A2E"/>
        <rFont val="맑은 고딕"/>
        <family val="0"/>
        <charset val="1"/>
      </rPr>
      <t xml:space="preserve">)</t>
    </r>
  </si>
  <si>
    <t xml:space="preserve">실제 품질 사전 확인</t>
  </si>
  <si>
    <r>
      <rPr>
        <sz val="8"/>
        <color rgb="FF6B7280"/>
        <rFont val="맑은 고딕"/>
        <family val="0"/>
        <charset val="1"/>
      </rPr>
      <t xml:space="preserve">10</t>
    </r>
    <r>
      <rPr>
        <sz val="8"/>
        <color rgb="FF6B7280"/>
        <rFont val="Noto Sans CJK SC"/>
        <family val="2"/>
      </rPr>
      <t xml:space="preserve">세트</t>
    </r>
    <r>
      <rPr>
        <sz val="8"/>
        <color rgb="FF6B7280"/>
        <rFont val="맑은 고딕"/>
        <family val="0"/>
        <charset val="1"/>
      </rPr>
      <t xml:space="preserve">×5</t>
    </r>
    <r>
      <rPr>
        <sz val="8"/>
        <color rgb="FF6B7280"/>
        <rFont val="Noto Sans CJK SC"/>
        <family val="2"/>
      </rPr>
      <t xml:space="preserve">초</t>
    </r>
  </si>
  <si>
    <r>
      <rPr>
        <sz val="9"/>
        <color rgb="FF1A1A2E"/>
        <rFont val="맑은 고딕"/>
        <family val="0"/>
        <charset val="1"/>
      </rPr>
      <t xml:space="preserve">fal.ai Seedance — 3</t>
    </r>
    <r>
      <rPr>
        <sz val="9"/>
        <color rgb="FF1A1A2E"/>
        <rFont val="Noto Sans CJK SC"/>
        <family val="2"/>
      </rPr>
      <t xml:space="preserve">주차 품질</t>
    </r>
    <r>
      <rPr>
        <sz val="9"/>
        <color rgb="FF1A1A2E"/>
        <rFont val="맑은 고딕"/>
        <family val="0"/>
        <charset val="1"/>
      </rPr>
      <t xml:space="preserve">(10</t>
    </r>
    <r>
      <rPr>
        <sz val="9"/>
        <color rgb="FF1A1A2E"/>
        <rFont val="Noto Sans CJK SC"/>
        <family val="2"/>
      </rPr>
      <t xml:space="preserve">초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</si>
  <si>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Noto Sans CJK SC"/>
        <family val="2"/>
      </rPr>
      <t xml:space="preserve">길이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품질 옵션 비교</t>
    </r>
  </si>
  <si>
    <r>
      <rPr>
        <sz val="8"/>
        <color rgb="FF6B7280"/>
        <rFont val="맑은 고딕"/>
        <family val="0"/>
        <charset val="1"/>
      </rPr>
      <t xml:space="preserve">6</t>
    </r>
    <r>
      <rPr>
        <sz val="8"/>
        <color rgb="FF6B7280"/>
        <rFont val="Noto Sans CJK SC"/>
        <family val="2"/>
      </rPr>
      <t xml:space="preserve">세트</t>
    </r>
    <r>
      <rPr>
        <sz val="8"/>
        <color rgb="FF6B7280"/>
        <rFont val="맑은 고딕"/>
        <family val="0"/>
        <charset val="1"/>
      </rPr>
      <t xml:space="preserve">×10</t>
    </r>
    <r>
      <rPr>
        <sz val="8"/>
        <color rgb="FF6B7280"/>
        <rFont val="Noto Sans CJK SC"/>
        <family val="2"/>
      </rPr>
      <t xml:space="preserve">초</t>
    </r>
  </si>
  <si>
    <r>
      <rPr>
        <sz val="9"/>
        <color rgb="FF1A1A2E"/>
        <rFont val="맑은 고딕"/>
        <family val="0"/>
        <charset val="1"/>
      </rPr>
      <t xml:space="preserve">fal.ai Seedance — 4</t>
    </r>
    <r>
      <rPr>
        <sz val="9"/>
        <color rgb="FF1A1A2E"/>
        <rFont val="Noto Sans CJK SC"/>
        <family val="2"/>
      </rPr>
      <t xml:space="preserve">주차 최종</t>
    </r>
    <r>
      <rPr>
        <sz val="9"/>
        <color rgb="FF1A1A2E"/>
        <rFont val="맑은 고딕"/>
        <family val="0"/>
        <charset val="1"/>
      </rPr>
      <t xml:space="preserve">(15</t>
    </r>
    <r>
      <rPr>
        <sz val="9"/>
        <color rgb="FF1A1A2E"/>
        <rFont val="Noto Sans CJK SC"/>
        <family val="2"/>
      </rPr>
      <t xml:space="preserve">초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</si>
  <si>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Noto Sans CJK SC"/>
        <family val="2"/>
      </rPr>
      <t xml:space="preserve">발표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시연용 최종 출력</t>
    </r>
  </si>
  <si>
    <r>
      <rPr>
        <sz val="8"/>
        <color rgb="FF6B7280"/>
        <rFont val="맑은 고딕"/>
        <family val="0"/>
        <charset val="1"/>
      </rPr>
      <t xml:space="preserve">7</t>
    </r>
    <r>
      <rPr>
        <sz val="8"/>
        <color rgb="FF6B7280"/>
        <rFont val="Noto Sans CJK SC"/>
        <family val="2"/>
      </rPr>
      <t xml:space="preserve">세트</t>
    </r>
    <r>
      <rPr>
        <sz val="8"/>
        <color rgb="FF6B7280"/>
        <rFont val="맑은 고딕"/>
        <family val="0"/>
        <charset val="1"/>
      </rPr>
      <t xml:space="preserve">×15</t>
    </r>
    <r>
      <rPr>
        <sz val="8"/>
        <color rgb="FF6B7280"/>
        <rFont val="Noto Sans CJK SC"/>
        <family val="2"/>
      </rPr>
      <t xml:space="preserve">초</t>
    </r>
  </si>
  <si>
    <r>
      <rPr>
        <sz val="9"/>
        <color rgb="FF1A1A2E"/>
        <rFont val="맑은 고딕"/>
        <family val="0"/>
        <charset val="1"/>
      </rPr>
      <t xml:space="preserve">AI </t>
    </r>
    <r>
      <rPr>
        <sz val="9"/>
        <color rgb="FF1A1A2E"/>
        <rFont val="Noto Sans CJK SC"/>
        <family val="2"/>
      </rPr>
      <t xml:space="preserve">코드 지원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문서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에이전트 개발</t>
    </r>
  </si>
  <si>
    <t xml:space="preserve">FE 1 + UX/UI 1</t>
  </si>
  <si>
    <t xml:space="preserve">프론트 자동 배포</t>
  </si>
  <si>
    <r>
      <rPr>
        <sz val="9"/>
        <color rgb="FF1A1A2E"/>
        <rFont val="Noto Sans CJK SC"/>
        <family val="2"/>
      </rPr>
      <t xml:space="preserve">프롬프트 해석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역프롬프트</t>
    </r>
  </si>
  <si>
    <r>
      <rPr>
        <sz val="8"/>
        <color rgb="FF6B7280"/>
        <rFont val="맑은 고딕"/>
        <family val="0"/>
        <charset val="1"/>
      </rPr>
      <t xml:space="preserve">2000/600</t>
    </r>
    <r>
      <rPr>
        <sz val="8"/>
        <color rgb="FF6B7280"/>
        <rFont val="Noto Sans CJK SC"/>
        <family val="2"/>
      </rPr>
      <t xml:space="preserve">토큰</t>
    </r>
  </si>
  <si>
    <r>
      <rPr>
        <sz val="9"/>
        <color rgb="FF1A1A2E"/>
        <rFont val="맑은 고딕"/>
        <family val="0"/>
        <charset val="1"/>
      </rPr>
      <t xml:space="preserve">GPT Image 2 — </t>
    </r>
    <r>
      <rPr>
        <sz val="9"/>
        <color rgb="FF1A1A2E"/>
        <rFont val="Noto Sans CJK SC"/>
        <family val="2"/>
      </rPr>
      <t xml:space="preserve">단일 이미지</t>
    </r>
  </si>
  <si>
    <r>
      <rPr>
        <sz val="9"/>
        <color rgb="FF1A1A2E"/>
        <rFont val="Noto Sans CJK SC"/>
        <family val="2"/>
      </rPr>
      <t xml:space="preserve">이미지 생성 테스트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데모</t>
    </r>
  </si>
  <si>
    <t xml:space="preserve">반복 테스트</t>
  </si>
  <si>
    <t xml:space="preserve">품질 사전 확인</t>
  </si>
  <si>
    <t xml:space="preserve">옵션 비교</t>
  </si>
  <si>
    <t xml:space="preserve">최종 출력</t>
  </si>
  <si>
    <r>
      <rPr>
        <sz val="8"/>
        <color rgb="FF6B7280"/>
        <rFont val="Noto Sans CJK SC"/>
        <family val="2"/>
      </rPr>
      <t xml:space="preserve">개발 인원 </t>
    </r>
    <r>
      <rPr>
        <sz val="8"/>
        <color rgb="FF6B7280"/>
        <rFont val="맑은 고딕"/>
        <family val="0"/>
        <charset val="1"/>
      </rPr>
      <t xml:space="preserve">4</t>
    </r>
    <r>
      <rPr>
        <sz val="8"/>
        <color rgb="FF6B7280"/>
        <rFont val="Noto Sans CJK SC"/>
        <family val="2"/>
      </rPr>
      <t xml:space="preserve">명</t>
    </r>
  </si>
  <si>
    <t xml:space="preserve">FE 2 + UX/UI 1</t>
  </si>
  <si>
    <t xml:space="preserve">프론트 배포</t>
  </si>
  <si>
    <r>
      <rPr>
        <sz val="9"/>
        <color rgb="FF1A1A2E"/>
        <rFont val="맑은 고딕"/>
        <family val="0"/>
        <charset val="1"/>
      </rPr>
      <t xml:space="preserve">AWS EC2 (</t>
    </r>
    <r>
      <rPr>
        <sz val="9"/>
        <color rgb="FF1A1A2E"/>
        <rFont val="Noto Sans CJK SC"/>
        <family val="2"/>
      </rPr>
      <t xml:space="preserve">후불</t>
    </r>
    <r>
      <rPr>
        <sz val="9"/>
        <color rgb="FF1A1A2E"/>
        <rFont val="맑은 고딕"/>
        <family val="0"/>
        <charset val="1"/>
      </rPr>
      <t xml:space="preserve">)</t>
    </r>
  </si>
  <si>
    <t xml:space="preserve">백엔드 배포</t>
  </si>
  <si>
    <t xml:space="preserve">claude-sonnet API</t>
  </si>
  <si>
    <t xml:space="preserve">영상 프롬프트 생성</t>
  </si>
  <si>
    <r>
      <rPr>
        <sz val="8"/>
        <color rgb="FF6B7280"/>
        <rFont val="맑은 고딕"/>
        <family val="0"/>
        <charset val="1"/>
      </rPr>
      <t xml:space="preserve">2500/1200</t>
    </r>
    <r>
      <rPr>
        <sz val="8"/>
        <color rgb="FF6B7280"/>
        <rFont val="Noto Sans CJK SC"/>
        <family val="2"/>
      </rPr>
      <t xml:space="preserve">토큰</t>
    </r>
  </si>
  <si>
    <r>
      <rPr>
        <sz val="9"/>
        <color rgb="FF1A1A2E"/>
        <rFont val="맑은 고딕"/>
        <family val="0"/>
        <charset val="1"/>
      </rPr>
      <t xml:space="preserve">GPT-4.1 vision (</t>
    </r>
    <r>
      <rPr>
        <sz val="9"/>
        <color rgb="FF1A1A2E"/>
        <rFont val="Noto Sans CJK SC"/>
        <family val="2"/>
      </rPr>
      <t xml:space="preserve">상위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</si>
  <si>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Noto Sans CJK SC"/>
        <family val="2"/>
      </rPr>
      <t xml:space="preserve">컷 생성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이미지 분석</t>
    </r>
  </si>
  <si>
    <r>
      <rPr>
        <sz val="8"/>
        <color rgb="FF6B7280"/>
        <rFont val="맑은 고딕"/>
        <family val="0"/>
        <charset val="1"/>
      </rPr>
      <t xml:space="preserve">1500/500</t>
    </r>
    <r>
      <rPr>
        <sz val="8"/>
        <color rgb="FF6B7280"/>
        <rFont val="Noto Sans CJK SC"/>
        <family val="2"/>
      </rPr>
      <t xml:space="preserve">토큰</t>
    </r>
  </si>
  <si>
    <t xml:space="preserve">gemini-3.5-flash-image</t>
  </si>
  <si>
    <r>
      <rPr>
        <sz val="9"/>
        <color rgb="FF1A1A2E"/>
        <rFont val="Noto Sans CJK SC"/>
        <family val="2"/>
      </rPr>
      <t xml:space="preserve">백엔드 코드 생성</t>
    </r>
    <r>
      <rPr>
        <sz val="9"/>
        <color rgb="FF1A1A2E"/>
        <rFont val="맑은 고딕"/>
        <family val="0"/>
        <charset val="1"/>
      </rPr>
      <t xml:space="preserve">·API </t>
    </r>
    <r>
      <rPr>
        <sz val="9"/>
        <color rgb="FF1A1A2E"/>
        <rFont val="Noto Sans CJK SC"/>
        <family val="2"/>
      </rPr>
      <t xml:space="preserve">연동 </t>
    </r>
    <r>
      <rPr>
        <sz val="9"/>
        <color rgb="FF1A1A2E"/>
        <rFont val="맑은 고딕"/>
        <family val="0"/>
        <charset val="1"/>
      </rPr>
      <t xml:space="preserve">AI </t>
    </r>
    <r>
      <rPr>
        <sz val="9"/>
        <color rgb="FF1A1A2E"/>
        <rFont val="Noto Sans CJK SC"/>
        <family val="2"/>
      </rPr>
      <t xml:space="preserve">지원 </t>
    </r>
    <r>
      <rPr>
        <sz val="9"/>
        <color rgb="FF1A1A2E"/>
        <rFont val="맑은 고딕"/>
        <family val="0"/>
        <charset val="1"/>
      </rPr>
      <t xml:space="preserve">(Team </t>
    </r>
    <r>
      <rPr>
        <sz val="9"/>
        <color rgb="FF1A1A2E"/>
        <rFont val="Noto Sans CJK SC"/>
        <family val="2"/>
      </rPr>
      <t xml:space="preserve">통일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</si>
  <si>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8"/>
        <color rgb="FF6B7280"/>
        <rFont val="맑은 고딕"/>
        <family val="0"/>
        <charset val="1"/>
      </rPr>
      <t xml:space="preserve">Pro→Team </t>
    </r>
    <r>
      <rPr>
        <sz val="8"/>
        <color rgb="FF6B7280"/>
        <rFont val="Noto Sans CJK SC"/>
        <family val="2"/>
      </rPr>
      <t xml:space="preserve">전환</t>
    </r>
  </si>
  <si>
    <r>
      <rPr>
        <sz val="9"/>
        <color rgb="FF1A1A2E"/>
        <rFont val="맑은 고딕"/>
        <family val="0"/>
        <charset val="1"/>
      </rPr>
      <t xml:space="preserve">PM 1 + FE 1 + UX/UI 1, </t>
    </r>
    <r>
      <rPr>
        <sz val="9"/>
        <color rgb="FF1A1A2E"/>
        <rFont val="Noto Sans CJK SC"/>
        <family val="2"/>
      </rPr>
      <t xml:space="preserve">화면 설계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협업</t>
    </r>
  </si>
  <si>
    <r>
      <rPr>
        <sz val="8"/>
        <color rgb="FF6B7280"/>
        <rFont val="맑은 고딕"/>
        <family val="0"/>
        <charset val="1"/>
      </rPr>
      <t xml:space="preserve">PM </t>
    </r>
    <r>
      <rPr>
        <sz val="8"/>
        <color rgb="FF6B7280"/>
        <rFont val="Noto Sans CJK SC"/>
        <family val="2"/>
      </rPr>
      <t xml:space="preserve">사용 포함</t>
    </r>
  </si>
  <si>
    <r>
      <rPr>
        <sz val="9"/>
        <color rgb="FF1A1A2E"/>
        <rFont val="맑은 고딕"/>
        <family val="0"/>
        <charset val="1"/>
      </rPr>
      <t xml:space="preserve">Next.js </t>
    </r>
    <r>
      <rPr>
        <sz val="9"/>
        <color rgb="FF1A1A2E"/>
        <rFont val="Noto Sans CJK SC"/>
        <family val="2"/>
      </rPr>
      <t xml:space="preserve">프론트 배포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데모 운영</t>
    </r>
  </si>
  <si>
    <r>
      <rPr>
        <sz val="9"/>
        <color rgb="FF1A1A2E"/>
        <rFont val="Noto Sans CJK SC"/>
        <family val="2"/>
      </rPr>
      <t xml:space="preserve">좌석형</t>
    </r>
    <r>
      <rPr>
        <sz val="9"/>
        <color rgb="FF1A1A2E"/>
        <rFont val="맑은 고딕"/>
        <family val="0"/>
        <charset val="1"/>
      </rPr>
      <t xml:space="preserve">(</t>
    </r>
    <r>
      <rPr>
        <sz val="9"/>
        <color rgb="FF1A1A2E"/>
        <rFont val="Noto Sans CJK SC"/>
        <family val="2"/>
      </rPr>
      <t xml:space="preserve">키 공유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</si>
  <si>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Noto Sans CJK SC"/>
        <family val="2"/>
      </rPr>
      <t xml:space="preserve">효과음 생성 </t>
    </r>
    <r>
      <rPr>
        <sz val="9"/>
        <color rgb="FF1A1A2E"/>
        <rFont val="맑은 고딕"/>
        <family val="0"/>
        <charset val="1"/>
      </rPr>
      <t xml:space="preserve">API (</t>
    </r>
    <r>
      <rPr>
        <sz val="9"/>
        <color rgb="FF1A1A2E"/>
        <rFont val="Noto Sans CJK SC"/>
        <family val="2"/>
      </rPr>
      <t xml:space="preserve">키 공유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</si>
  <si>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맑은 고딕"/>
        <family val="0"/>
        <charset val="1"/>
      </rPr>
      <t xml:space="preserve">AWS EC2 (t3.small, </t>
    </r>
    <r>
      <rPr>
        <sz val="9"/>
        <color rgb="FF1A1A2E"/>
        <rFont val="Noto Sans CJK SC"/>
        <family val="2"/>
      </rPr>
      <t xml:space="preserve">후불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</si>
  <si>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9"/>
        <color rgb="FF1A1A2E"/>
        <rFont val="맑은 고딕"/>
        <family val="0"/>
        <charset val="1"/>
      </rPr>
      <t xml:space="preserve">Spring Boot </t>
    </r>
    <r>
      <rPr>
        <sz val="9"/>
        <color rgb="FF1A1A2E"/>
        <rFont val="Noto Sans CJK SC"/>
        <family val="2"/>
      </rPr>
      <t xml:space="preserve">백엔드 서버 운영</t>
    </r>
  </si>
  <si>
    <r>
      <rPr>
        <sz val="9"/>
        <color rgb="FF1A1A2E"/>
        <rFont val="맑은 고딕"/>
        <family val="0"/>
        <charset val="1"/>
      </rPr>
      <t xml:space="preserve">STT/</t>
    </r>
    <r>
      <rPr>
        <sz val="9"/>
        <color rgb="FF1A1A2E"/>
        <rFont val="Noto Sans CJK SC"/>
        <family val="2"/>
      </rPr>
      <t xml:space="preserve">자막</t>
    </r>
  </si>
  <si>
    <t xml:space="preserve">OpenAI Whisper API</t>
  </si>
  <si>
    <r>
      <rPr>
        <sz val="9"/>
        <color rgb="FF1A1A2E"/>
        <rFont val="맑은 고딕"/>
        <family val="0"/>
        <charset val="1"/>
      </rPr>
      <t xml:space="preserve">STT·</t>
    </r>
    <r>
      <rPr>
        <sz val="9"/>
        <color rgb="FF1A1A2E"/>
        <rFont val="Noto Sans CJK SC"/>
        <family val="2"/>
      </rPr>
      <t xml:space="preserve">자동 자막 </t>
    </r>
    <r>
      <rPr>
        <sz val="9"/>
        <color rgb="FF1A1A2E"/>
        <rFont val="맑은 고딕"/>
        <family val="0"/>
        <charset val="1"/>
      </rPr>
      <t xml:space="preserve">(</t>
    </r>
    <r>
      <rPr>
        <sz val="9"/>
        <color rgb="FF1A1A2E"/>
        <rFont val="Noto Sans CJK SC"/>
        <family val="2"/>
      </rPr>
      <t xml:space="preserve">성능 비교</t>
    </r>
    <r>
      <rPr>
        <sz val="9"/>
        <color rgb="FF1A1A2E"/>
        <rFont val="맑은 고딕"/>
        <family val="0"/>
        <charset val="1"/>
      </rPr>
      <t xml:space="preserve">)</t>
    </r>
  </si>
  <si>
    <r>
      <rPr>
        <sz val="8"/>
        <color rgb="FF6B7280"/>
        <rFont val="맑은 고딕"/>
        <family val="0"/>
        <charset val="1"/>
      </rPr>
      <t xml:space="preserve">5</t>
    </r>
    <r>
      <rPr>
        <sz val="8"/>
        <color rgb="FF6B7280"/>
        <rFont val="Noto Sans CJK SC"/>
        <family val="2"/>
      </rPr>
      <t xml:space="preserve">분</t>
    </r>
    <r>
      <rPr>
        <sz val="8"/>
        <color rgb="FF6B7280"/>
        <rFont val="맑은 고딕"/>
        <family val="0"/>
        <charset val="1"/>
      </rPr>
      <t xml:space="preserve">/</t>
    </r>
    <r>
      <rPr>
        <sz val="8"/>
        <color rgb="FF6B7280"/>
        <rFont val="Noto Sans CJK SC"/>
        <family val="2"/>
      </rPr>
      <t xml:space="preserve">회 </t>
    </r>
    <r>
      <rPr>
        <sz val="8"/>
        <color rgb="FF6B7280"/>
        <rFont val="맑은 고딕"/>
        <family val="0"/>
        <charset val="1"/>
      </rPr>
      <t xml:space="preserve">×$0.006/</t>
    </r>
    <r>
      <rPr>
        <sz val="8"/>
        <color rgb="FF6B7280"/>
        <rFont val="Noto Sans CJK SC"/>
        <family val="2"/>
      </rPr>
      <t xml:space="preserve">분</t>
    </r>
  </si>
  <si>
    <r>
      <rPr>
        <sz val="9"/>
        <color rgb="FF1A1A2E"/>
        <rFont val="Noto Sans CJK SC"/>
        <family val="2"/>
      </rPr>
      <t xml:space="preserve">정밀 자막</t>
    </r>
    <r>
      <rPr>
        <sz val="9"/>
        <color rgb="FF1A1A2E"/>
        <rFont val="맑은 고딕"/>
        <family val="0"/>
        <charset val="1"/>
      </rPr>
      <t xml:space="preserve">·</t>
    </r>
    <r>
      <rPr>
        <sz val="9"/>
        <color rgb="FF1A1A2E"/>
        <rFont val="Noto Sans CJK SC"/>
        <family val="2"/>
      </rPr>
      <t xml:space="preserve">타임스탬프 변환</t>
    </r>
  </si>
  <si>
    <r>
      <rPr>
        <sz val="8"/>
        <color rgb="FF6B7280"/>
        <rFont val="맑은 고딕"/>
        <family val="0"/>
        <charset val="1"/>
      </rPr>
      <t xml:space="preserve">5</t>
    </r>
    <r>
      <rPr>
        <sz val="8"/>
        <color rgb="FF6B7280"/>
        <rFont val="Noto Sans CJK SC"/>
        <family val="2"/>
      </rPr>
      <t xml:space="preserve">분</t>
    </r>
    <r>
      <rPr>
        <sz val="8"/>
        <color rgb="FF6B7280"/>
        <rFont val="맑은 고딕"/>
        <family val="0"/>
        <charset val="1"/>
      </rPr>
      <t xml:space="preserve">/</t>
    </r>
    <r>
      <rPr>
        <sz val="8"/>
        <color rgb="FF6B7280"/>
        <rFont val="Noto Sans CJK SC"/>
        <family val="2"/>
      </rPr>
      <t xml:space="preserve">회 </t>
    </r>
    <r>
      <rPr>
        <sz val="8"/>
        <color rgb="FF6B7280"/>
        <rFont val="맑은 고딕"/>
        <family val="0"/>
        <charset val="1"/>
      </rPr>
      <t xml:space="preserve">×$0.0035/</t>
    </r>
    <r>
      <rPr>
        <sz val="8"/>
        <color rgb="FF6B7280"/>
        <rFont val="Noto Sans CJK SC"/>
        <family val="2"/>
      </rPr>
      <t xml:space="preserve">분</t>
    </r>
  </si>
  <si>
    <t xml:space="preserve">합 계</t>
  </si>
  <si>
    <r>
      <rPr>
        <b val="true"/>
        <sz val="14"/>
        <color rgb="FF2D4373"/>
        <rFont val="맑은 고딕"/>
        <family val="0"/>
        <charset val="1"/>
      </rPr>
      <t xml:space="preserve">KX_A1 · 1</t>
    </r>
    <r>
      <rPr>
        <b val="true"/>
        <sz val="14"/>
        <color rgb="FF2D4373"/>
        <rFont val="Noto Sans CJK SC"/>
        <family val="2"/>
      </rPr>
      <t xml:space="preserve">개월 예상 비용 </t>
    </r>
    <r>
      <rPr>
        <b val="true"/>
        <sz val="14"/>
        <color rgb="FF2D4373"/>
        <rFont val="맑은 고딕"/>
        <family val="0"/>
        <charset val="1"/>
      </rPr>
      <t xml:space="preserve">(</t>
    </r>
    <r>
      <rPr>
        <b val="true"/>
        <sz val="14"/>
        <color rgb="FF2D4373"/>
        <rFont val="Noto Sans CJK SC"/>
        <family val="2"/>
      </rPr>
      <t xml:space="preserve">청구용</t>
    </r>
    <r>
      <rPr>
        <b val="true"/>
        <sz val="14"/>
        <color rgb="FF2D4373"/>
        <rFont val="맑은 고딕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</si>
  <si>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환율 </t>
    </r>
    <r>
      <rPr>
        <sz val="9"/>
        <color rgb="FF6B7280"/>
        <rFont val="맑은 고딕"/>
        <family val="0"/>
        <charset val="1"/>
      </rPr>
      <t xml:space="preserve">1,550 KRW/USD · </t>
    </r>
    <r>
      <rPr>
        <sz val="9"/>
        <color rgb="FF6B7280"/>
        <rFont val="Noto Sans CJK SC"/>
        <family val="2"/>
      </rPr>
      <t xml:space="preserve">청구기간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개월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금액은 전체내역 마스터와 연동</t>
    </r>
  </si>
  <si>
    <t xml:space="preserve">항목</t>
  </si>
  <si>
    <r>
      <rPr>
        <b val="true"/>
        <sz val="9"/>
        <color rgb="FFFFFFFF"/>
        <rFont val="Noto Sans CJK SC"/>
        <family val="2"/>
      </rPr>
      <t xml:space="preserve">단가</t>
    </r>
    <r>
      <rPr>
        <b val="true"/>
        <sz val="9"/>
        <color rgb="FFFFFFFF"/>
        <rFont val="맑은 고딕"/>
        <family val="0"/>
        <charset val="1"/>
      </rPr>
      <t xml:space="preserve">(USD)</t>
    </r>
  </si>
  <si>
    <r>
      <rPr>
        <b val="true"/>
        <sz val="9"/>
        <color rgb="FFFFFFFF"/>
        <rFont val="Noto Sans CJK SC"/>
        <family val="2"/>
      </rPr>
      <t xml:space="preserve">합계</t>
    </r>
    <r>
      <rPr>
        <b val="true"/>
        <sz val="9"/>
        <color rgb="FFFFFFFF"/>
        <rFont val="맑은 고딕"/>
        <family val="0"/>
        <charset val="1"/>
      </rPr>
      <t xml:space="preserve">(USD)</t>
    </r>
  </si>
  <si>
    <r>
      <rPr>
        <b val="true"/>
        <sz val="9"/>
        <color rgb="FFFFFFFF"/>
        <rFont val="Noto Sans CJK SC"/>
        <family val="2"/>
      </rPr>
      <t xml:space="preserve">합계</t>
    </r>
    <r>
      <rPr>
        <b val="true"/>
        <sz val="9"/>
        <color rgb="FFFFFFFF"/>
        <rFont val="맑은 고딕"/>
        <family val="0"/>
        <charset val="1"/>
      </rPr>
      <t xml:space="preserve">(KRW)</t>
    </r>
  </si>
  <si>
    <t xml:space="preserve">  고정구독</t>
  </si>
  <si>
    <t xml:space="preserve">고정구독 소계</t>
  </si>
  <si>
    <r>
      <rPr>
        <b val="true"/>
        <sz val="9"/>
        <color rgb="FFFFFFFF"/>
        <rFont val="Noto Sans CJK SC"/>
        <family val="2"/>
      </rPr>
      <t xml:space="preserve">  클라우드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배포</t>
    </r>
  </si>
  <si>
    <r>
      <rPr>
        <b val="true"/>
        <sz val="9"/>
        <color rgb="FF1A1A2E"/>
        <rFont val="Noto Sans CJK SC"/>
        <family val="2"/>
      </rPr>
      <t xml:space="preserve">클라우드</t>
    </r>
    <r>
      <rPr>
        <b val="true"/>
        <sz val="9"/>
        <color rgb="FF1A1A2E"/>
        <rFont val="맑은 고딕"/>
        <family val="0"/>
        <charset val="1"/>
      </rPr>
      <t xml:space="preserve">/</t>
    </r>
    <r>
      <rPr>
        <b val="true"/>
        <sz val="9"/>
        <color rgb="FF1A1A2E"/>
        <rFont val="Noto Sans CJK SC"/>
        <family val="2"/>
      </rPr>
      <t xml:space="preserve">배포 소계</t>
    </r>
  </si>
  <si>
    <t xml:space="preserve">  LLM API</t>
  </si>
  <si>
    <r>
      <rPr>
        <sz val="8"/>
        <color rgb="FF1A1A2E"/>
        <rFont val="맑은 고딕"/>
        <family val="0"/>
        <charset val="1"/>
      </rPr>
      <t xml:space="preserve">API </t>
    </r>
    <r>
      <rPr>
        <sz val="8"/>
        <color rgb="FF1A1A2E"/>
        <rFont val="Noto Sans CJK SC"/>
        <family val="2"/>
      </rPr>
      <t xml:space="preserve">키형</t>
    </r>
  </si>
  <si>
    <r>
      <rPr>
        <b val="true"/>
        <sz val="9"/>
        <color rgb="FF1A1A2E"/>
        <rFont val="맑은 고딕"/>
        <family val="0"/>
        <charset val="1"/>
      </rPr>
      <t xml:space="preserve">LLM API </t>
    </r>
    <r>
      <rPr>
        <b val="true"/>
        <sz val="9"/>
        <color rgb="FF1A1A2E"/>
        <rFont val="Noto Sans CJK SC"/>
        <family val="2"/>
      </rPr>
      <t xml:space="preserve">소계</t>
    </r>
  </si>
  <si>
    <t xml:space="preserve">  이미지 생성</t>
  </si>
  <si>
    <t xml:space="preserve">이미지 생성 소계</t>
  </si>
  <si>
    <t xml:space="preserve">  영상 생성</t>
  </si>
  <si>
    <t xml:space="preserve">영상 생성 소계</t>
  </si>
  <si>
    <t xml:space="preserve">★ 총 합계</t>
  </si>
  <si>
    <r>
      <rPr>
        <b val="true"/>
        <sz val="14"/>
        <color rgb="FF2D4373"/>
        <rFont val="맑은 고딕"/>
        <family val="0"/>
        <charset val="1"/>
      </rPr>
      <t xml:space="preserve">KX_A2 · 1</t>
    </r>
    <r>
      <rPr>
        <b val="true"/>
        <sz val="14"/>
        <color rgb="FF2D4373"/>
        <rFont val="Noto Sans CJK SC"/>
        <family val="2"/>
      </rPr>
      <t xml:space="preserve">개월 예상 비용 </t>
    </r>
    <r>
      <rPr>
        <b val="true"/>
        <sz val="14"/>
        <color rgb="FF2D4373"/>
        <rFont val="맑은 고딕"/>
        <family val="0"/>
        <charset val="1"/>
      </rPr>
      <t xml:space="preserve">(</t>
    </r>
    <r>
      <rPr>
        <b val="true"/>
        <sz val="14"/>
        <color rgb="FF2D4373"/>
        <rFont val="Noto Sans CJK SC"/>
        <family val="2"/>
      </rPr>
      <t xml:space="preserve">청구용</t>
    </r>
    <r>
      <rPr>
        <b val="true"/>
        <sz val="14"/>
        <color rgb="FF2D4373"/>
        <rFont val="맑은 고딕"/>
        <family val="0"/>
        <charset val="1"/>
      </rPr>
      <t xml:space="preserve">)</t>
    </r>
  </si>
  <si>
    <r>
      <rPr>
        <b val="true"/>
        <sz val="14"/>
        <color rgb="FF2D4373"/>
        <rFont val="맑은 고딕"/>
        <family val="0"/>
        <charset val="1"/>
      </rPr>
      <t xml:space="preserve">KX_B1 · 1</t>
    </r>
    <r>
      <rPr>
        <b val="true"/>
        <sz val="14"/>
        <color rgb="FF2D4373"/>
        <rFont val="Noto Sans CJK SC"/>
        <family val="2"/>
      </rPr>
      <t xml:space="preserve">개월 예상 비용 </t>
    </r>
    <r>
      <rPr>
        <b val="true"/>
        <sz val="14"/>
        <color rgb="FF2D4373"/>
        <rFont val="맑은 고딕"/>
        <family val="0"/>
        <charset val="1"/>
      </rPr>
      <t xml:space="preserve">(</t>
    </r>
    <r>
      <rPr>
        <b val="true"/>
        <sz val="14"/>
        <color rgb="FF2D4373"/>
        <rFont val="Noto Sans CJK SC"/>
        <family val="2"/>
      </rPr>
      <t xml:space="preserve">청구용</t>
    </r>
    <r>
      <rPr>
        <b val="true"/>
        <sz val="14"/>
        <color rgb="FF2D4373"/>
        <rFont val="맑은 고딕"/>
        <family val="0"/>
        <charset val="1"/>
      </rPr>
      <t xml:space="preserve">)</t>
    </r>
  </si>
  <si>
    <r>
      <rPr>
        <b val="true"/>
        <sz val="14"/>
        <color rgb="FF2D4373"/>
        <rFont val="맑은 고딕"/>
        <family val="0"/>
        <charset val="1"/>
      </rPr>
      <t xml:space="preserve">KX_B2 · 1</t>
    </r>
    <r>
      <rPr>
        <b val="true"/>
        <sz val="14"/>
        <color rgb="FF2D4373"/>
        <rFont val="Noto Sans CJK SC"/>
        <family val="2"/>
      </rPr>
      <t xml:space="preserve">개월 예상 비용 </t>
    </r>
    <r>
      <rPr>
        <b val="true"/>
        <sz val="14"/>
        <color rgb="FF2D4373"/>
        <rFont val="맑은 고딕"/>
        <family val="0"/>
        <charset val="1"/>
      </rPr>
      <t xml:space="preserve">(</t>
    </r>
    <r>
      <rPr>
        <b val="true"/>
        <sz val="14"/>
        <color rgb="FF2D4373"/>
        <rFont val="Noto Sans CJK SC"/>
        <family val="2"/>
      </rPr>
      <t xml:space="preserve">청구용</t>
    </r>
    <r>
      <rPr>
        <b val="true"/>
        <sz val="14"/>
        <color rgb="FF2D4373"/>
        <rFont val="맑은 고딕"/>
        <family val="0"/>
        <charset val="1"/>
      </rPr>
      <t xml:space="preserve">)</t>
    </r>
  </si>
  <si>
    <r>
      <rPr>
        <b val="true"/>
        <sz val="14"/>
        <color rgb="FF2D4373"/>
        <rFont val="맑은 고딕"/>
        <family val="0"/>
        <charset val="1"/>
      </rPr>
      <t xml:space="preserve">KX_C · 1</t>
    </r>
    <r>
      <rPr>
        <b val="true"/>
        <sz val="14"/>
        <color rgb="FF2D4373"/>
        <rFont val="Noto Sans CJK SC"/>
        <family val="2"/>
      </rPr>
      <t xml:space="preserve">개월 예상 비용 </t>
    </r>
    <r>
      <rPr>
        <b val="true"/>
        <sz val="14"/>
        <color rgb="FF2D4373"/>
        <rFont val="맑은 고딕"/>
        <family val="0"/>
        <charset val="1"/>
      </rPr>
      <t xml:space="preserve">(</t>
    </r>
    <r>
      <rPr>
        <b val="true"/>
        <sz val="14"/>
        <color rgb="FF2D4373"/>
        <rFont val="Noto Sans CJK SC"/>
        <family val="2"/>
      </rPr>
      <t xml:space="preserve">청구용</t>
    </r>
    <r>
      <rPr>
        <b val="true"/>
        <sz val="14"/>
        <color rgb="FF2D4373"/>
        <rFont val="맑은 고딕"/>
        <family val="0"/>
        <charset val="1"/>
      </rPr>
      <t xml:space="preserve">)</t>
    </r>
  </si>
  <si>
    <r>
      <rPr>
        <sz val="8"/>
        <color rgb="FF1A1A2E"/>
        <rFont val="Noto Sans CJK SC"/>
        <family val="2"/>
      </rPr>
      <t xml:space="preserve">좌석형</t>
    </r>
    <r>
      <rPr>
        <sz val="8"/>
        <color rgb="FF1A1A2E"/>
        <rFont val="맑은 고딕"/>
        <family val="0"/>
        <charset val="1"/>
      </rPr>
      <t xml:space="preserve">(</t>
    </r>
    <r>
      <rPr>
        <sz val="8"/>
        <color rgb="FF1A1A2E"/>
        <rFont val="Noto Sans CJK SC"/>
        <family val="2"/>
      </rPr>
      <t xml:space="preserve">키 공유</t>
    </r>
    <r>
      <rPr>
        <sz val="8"/>
        <color rgb="FF1A1A2E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</si>
  <si>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  STT/</t>
    </r>
    <r>
      <rPr>
        <b val="true"/>
        <sz val="9"/>
        <color rgb="FFFFFFFF"/>
        <rFont val="Noto Sans CJK SC"/>
        <family val="2"/>
      </rPr>
      <t xml:space="preserve">자막</t>
    </r>
  </si>
  <si>
    <r>
      <rPr>
        <b val="true"/>
        <sz val="9"/>
        <color rgb="FF1A1A2E"/>
        <rFont val="맑은 고딕"/>
        <family val="0"/>
        <charset val="1"/>
      </rPr>
      <t xml:space="preserve">STT/</t>
    </r>
    <r>
      <rPr>
        <b val="true"/>
        <sz val="9"/>
        <color rgb="FF1A1A2E"/>
        <rFont val="Noto Sans CJK SC"/>
        <family val="2"/>
      </rPr>
      <t xml:space="preserve">자막 소계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</si>
</sst>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\₩#,##0"/>
    <numFmt numFmtId="168" formatCode="0.0%"/>
    <numFmt numFmtId="169" formatCode="\$#,##0.####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4373"/>
      <name val="맑은 고딕"/>
      <family val="0"/>
      <charset val="1"/>
    </font>
    <font>
      <b val="true"/>
      <sz val="16"/>
      <color rgb="FF2D4373"/>
      <name val="Noto Sans CJK SC"/>
      <family val="2"/>
    </font>
    <font>
      <sz val="10"/>
      <color rgb="FF6B7280"/>
      <name val="Noto Sans CJK SC"/>
      <family val="2"/>
    </font>
    <font>
      <sz val="10"/>
      <color rgb="FF6B7280"/>
      <name val="맑은 고딕"/>
      <family val="0"/>
      <charset val="1"/>
    </font>
    <font>
      <b val="true"/>
      <sz val="10"/>
      <color rgb="FF1A1A2E"/>
      <name val="Noto Sans CJK SC"/>
      <family val="2"/>
    </font>
    <font>
      <b val="true"/>
      <sz val="10"/>
      <color rgb="FF1A1A2E"/>
      <name val="맑은 고딕"/>
      <family val="0"/>
      <charset val="1"/>
    </font>
    <font>
      <sz val="9"/>
      <color rgb="FF9A6B0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맑은 고딕"/>
      <family val="0"/>
      <charset val="1"/>
    </font>
    <font>
      <sz val="10"/>
      <color rgb="FFFFFFFF"/>
      <name val="Noto Sans CJK SC"/>
      <family val="2"/>
    </font>
    <font>
      <sz val="10"/>
      <color rgb="FFFFFFFF"/>
      <name val="맑은 고딕"/>
      <family val="0"/>
      <charset val="1"/>
    </font>
    <font>
      <b val="true"/>
      <sz val="11"/>
      <color rgb="FF2D4373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sz val="10"/>
      <color rgb="FF1A1A2E"/>
      <name val="맑은 고딕"/>
      <family val="0"/>
      <charset val="1"/>
    </font>
    <font>
      <sz val="10"/>
      <color rgb="FF1A1A2E"/>
      <name val="Noto Sans CJK SC"/>
      <family val="2"/>
    </font>
    <font>
      <b val="true"/>
      <sz val="11"/>
      <color rgb="FF2D4373"/>
      <name val="맑은 고딕"/>
      <family val="0"/>
      <charset val="1"/>
    </font>
    <font>
      <b val="true"/>
      <sz val="9"/>
      <color rgb="FF1A1A2E"/>
      <name val="맑은 고딕"/>
      <family val="0"/>
      <charset val="1"/>
    </font>
    <font>
      <sz val="8"/>
      <color rgb="FF1A1A2E"/>
      <name val="Noto Sans CJK SC"/>
      <family val="2"/>
    </font>
    <font>
      <sz val="8"/>
      <color rgb="FF1A1A2E"/>
      <name val="맑은 고딕"/>
      <family val="0"/>
      <charset val="1"/>
    </font>
    <font>
      <b val="true"/>
      <sz val="13"/>
      <color rgb="FF2D4373"/>
      <name val="Noto Sans CJK SC"/>
      <family val="2"/>
    </font>
    <font>
      <b val="true"/>
      <sz val="13"/>
      <color rgb="FF2D4373"/>
      <name val="맑은 고딕"/>
      <family val="0"/>
      <charset val="1"/>
    </font>
    <font>
      <sz val="9"/>
      <color rgb="FF9A6B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"/>
      <color rgb="FF1A1A2E"/>
      <name val="맑은 고딕"/>
      <family val="0"/>
      <charset val="1"/>
    </font>
    <font>
      <sz val="9"/>
      <color rgb="FF1A1A2E"/>
      <name val="Noto Sans CJK SC"/>
      <family val="2"/>
    </font>
    <font>
      <sz val="8"/>
      <color rgb="FF6B7280"/>
      <name val="맑은 고딕"/>
      <family val="0"/>
      <charset val="1"/>
    </font>
    <font>
      <sz val="8"/>
      <color rgb="FF6B7280"/>
      <name val="Noto Sans CJK SC"/>
      <family val="2"/>
    </font>
    <font>
      <b val="true"/>
      <sz val="14"/>
      <color rgb="FF2D4373"/>
      <name val="맑은 고딕"/>
      <family val="0"/>
      <charset val="1"/>
    </font>
    <font>
      <b val="true"/>
      <sz val="14"/>
      <color rgb="FF2D4373"/>
      <name val="Noto Sans CJK SC"/>
      <family val="2"/>
    </font>
    <font>
      <sz val="9"/>
      <color rgb="FF6B7280"/>
      <name val="Noto Sans CJK SC"/>
      <family val="2"/>
    </font>
    <font>
      <sz val="9"/>
      <color rgb="FF6B7280"/>
      <name val="맑은 고딕"/>
      <family val="0"/>
      <charset val="1"/>
    </font>
    <font>
      <b val="true"/>
      <sz val="9"/>
      <color rgb="FF1A1A2E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FFF6D8"/>
        <bgColor rgb="FFF4F6FA"/>
      </patternFill>
    </fill>
    <fill>
      <patternFill patternType="solid">
        <fgColor rgb="FF2D4373"/>
        <bgColor rgb="FF3D5A94"/>
      </patternFill>
    </fill>
    <fill>
      <patternFill patternType="solid">
        <fgColor rgb="FFFFFFFF"/>
        <bgColor rgb="FFF4F6FA"/>
      </patternFill>
    </fill>
    <fill>
      <patternFill patternType="solid">
        <fgColor rgb="FFF4F6FA"/>
        <bgColor rgb="FFFFFFFF"/>
      </patternFill>
    </fill>
    <fill>
      <patternFill patternType="solid">
        <fgColor rgb="FFDDE4EF"/>
        <bgColor rgb="FFE8EDF5"/>
      </patternFill>
    </fill>
    <fill>
      <patternFill patternType="solid">
        <fgColor rgb="FF3D5A94"/>
        <bgColor rgb="FF2D4373"/>
      </patternFill>
    </fill>
    <fill>
      <patternFill patternType="solid">
        <fgColor rgb="FFE8EDF5"/>
        <bgColor rgb="FFDDE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008080"/>
      <rgbColor rgb="FFC0C0C0"/>
      <rgbColor rgb="FF808080"/>
      <rgbColor rgb="FF9999FF"/>
      <rgbColor rgb="FF993366"/>
      <rgbColor rgb="FFFFF6D8"/>
      <rgbColor rgb="FFE8EDF5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DE4EF"/>
      <rgbColor rgb="FFFFFF99"/>
      <rgbColor rgb="FF99CCFF"/>
      <rgbColor rgb="FFFF99CC"/>
      <rgbColor rgb="FFCC99FF"/>
      <rgbColor rgb="FFFFCC99"/>
      <rgbColor rgb="FF3D5A94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2D4373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42"/>
    <col collapsed="false" customWidth="true" hidden="false" outlineLevel="0" max="7" min="7" style="0" width="4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전체내역!$B$2</f>
        <v>1550</v>
      </c>
      <c r="C3" s="5" t="s">
        <v>3</v>
      </c>
    </row>
    <row r="5" customFormat="false" ht="15" hidden="false" customHeight="false" outlineLevel="0" collapsed="false">
      <c r="A5" s="6" t="s">
        <v>4</v>
      </c>
      <c r="B5" s="7" t="n">
        <f aca="false">SUM(전체내역!$J$5:$J$48)</f>
        <v>1572.592</v>
      </c>
      <c r="C5" s="8" t="n">
        <f aca="false">SUM(전체내역!$K$5:$K$48)</f>
        <v>2437517.6</v>
      </c>
      <c r="D5" s="9" t="s">
        <v>5</v>
      </c>
      <c r="E5" s="9"/>
      <c r="F5" s="9"/>
    </row>
    <row r="7" customFormat="false" ht="15" hidden="false" customHeight="false" outlineLevel="0" collapsed="false">
      <c r="A7" s="10" t="s">
        <v>6</v>
      </c>
    </row>
    <row r="8" customFormat="false" ht="15" hidden="false" customHeight="false" outlineLevel="0" collapsed="false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</row>
    <row r="9" customFormat="false" ht="15" hidden="false" customHeight="false" outlineLevel="0" collapsed="false">
      <c r="A9" s="12" t="s">
        <v>13</v>
      </c>
      <c r="B9" s="13" t="n">
        <f aca="false">SUMIFS(전체내역!$J$5:$J$48,전체내역!$A$5:$A$48,A9,전체내역!$B$5:$B$48,"고정구독")</f>
        <v>180</v>
      </c>
      <c r="C9" s="13" t="n">
        <f aca="false">SUMIF(전체내역!$A$5:$A$48,A9,전체내역!$J$5:$J$48)-B9</f>
        <v>197.871</v>
      </c>
      <c r="D9" s="14" t="n">
        <f aca="false">SUMIF(전체내역!$A$5:$A$48,A9,전체내역!$J$5:$J$48)</f>
        <v>377.871</v>
      </c>
      <c r="E9" s="15" t="n">
        <f aca="false">SUMIF(전체내역!$A$5:$A$48,A9,전체내역!$K$5:$K$48)</f>
        <v>585700.05</v>
      </c>
      <c r="F9" s="16" t="n">
        <f aca="false">D9/$B$5</f>
        <v>0.240285465015719</v>
      </c>
    </row>
    <row r="10" customFormat="false" ht="15" hidden="false" customHeight="false" outlineLevel="0" collapsed="false">
      <c r="A10" s="17" t="s">
        <v>14</v>
      </c>
      <c r="B10" s="18" t="n">
        <f aca="false">SUMIFS(전체내역!$J$5:$J$48,전체내역!$A$5:$A$48,A10,전체내역!$B$5:$B$48,"고정구독")</f>
        <v>180</v>
      </c>
      <c r="C10" s="18" t="n">
        <f aca="false">SUMIF(전체내역!$A$5:$A$48,A10,전체내역!$J$5:$J$48)-B10</f>
        <v>179.921</v>
      </c>
      <c r="D10" s="19" t="n">
        <f aca="false">SUMIF(전체내역!$A$5:$A$48,A10,전체내역!$J$5:$J$48)</f>
        <v>359.921</v>
      </c>
      <c r="E10" s="20" t="n">
        <f aca="false">SUMIF(전체내역!$A$5:$A$48,A10,전체내역!$K$5:$K$48)</f>
        <v>557877.55</v>
      </c>
      <c r="F10" s="21" t="n">
        <f aca="false">D10/$B$5</f>
        <v>0.228871188458291</v>
      </c>
    </row>
    <row r="11" customFormat="false" ht="15" hidden="false" customHeight="false" outlineLevel="0" collapsed="false">
      <c r="A11" s="12" t="s">
        <v>15</v>
      </c>
      <c r="B11" s="13" t="n">
        <f aca="false">SUMIFS(전체내역!$J$5:$J$48,전체내역!$A$5:$A$48,A11,전체내역!$B$5:$B$48,"고정구독")</f>
        <v>200</v>
      </c>
      <c r="C11" s="13" t="n">
        <f aca="false">SUMIF(전체내역!$A$5:$A$48,A11,전체내역!$J$5:$J$48)-B11</f>
        <v>97.275</v>
      </c>
      <c r="D11" s="14" t="n">
        <f aca="false">SUMIF(전체내역!$A$5:$A$48,A11,전체내역!$J$5:$J$48)</f>
        <v>297.275</v>
      </c>
      <c r="E11" s="15" t="n">
        <f aca="false">SUMIF(전체내역!$A$5:$A$48,A11,전체내역!$K$5:$K$48)</f>
        <v>460776.25</v>
      </c>
      <c r="F11" s="16" t="n">
        <f aca="false">D11/$B$5</f>
        <v>0.189035045326442</v>
      </c>
    </row>
    <row r="12" customFormat="false" ht="15" hidden="false" customHeight="false" outlineLevel="0" collapsed="false">
      <c r="A12" s="17" t="s">
        <v>16</v>
      </c>
      <c r="B12" s="18" t="n">
        <f aca="false">SUMIFS(전체내역!$J$5:$J$48,전체내역!$A$5:$A$48,A12,전체내역!$B$5:$B$48,"고정구독")</f>
        <v>200</v>
      </c>
      <c r="C12" s="18" t="n">
        <f aca="false">SUMIF(전체내역!$A$5:$A$48,A12,전체내역!$J$5:$J$48)-B12</f>
        <v>97.275</v>
      </c>
      <c r="D12" s="19" t="n">
        <f aca="false">SUMIF(전체내역!$A$5:$A$48,A12,전체내역!$J$5:$J$48)</f>
        <v>297.275</v>
      </c>
      <c r="E12" s="20" t="n">
        <f aca="false">SUMIF(전체내역!$A$5:$A$48,A12,전체내역!$K$5:$K$48)</f>
        <v>460776.25</v>
      </c>
      <c r="F12" s="21" t="n">
        <f aca="false">D12/$B$5</f>
        <v>0.189035045326442</v>
      </c>
    </row>
    <row r="13" customFormat="false" ht="15" hidden="false" customHeight="false" outlineLevel="0" collapsed="false">
      <c r="A13" s="12" t="s">
        <v>17</v>
      </c>
      <c r="B13" s="13" t="n">
        <f aca="false">SUMIFS(전체내역!$J$5:$J$48,전체내역!$A$5:$A$48,A13,전체내역!$B$5:$B$48,"고정구독")</f>
        <v>206</v>
      </c>
      <c r="C13" s="13" t="n">
        <f aca="false">SUMIF(전체내역!$A$5:$A$48,A13,전체내역!$J$5:$J$48)-B13</f>
        <v>34.25</v>
      </c>
      <c r="D13" s="14" t="n">
        <f aca="false">SUMIF(전체내역!$A$5:$A$48,A13,전체내역!$J$5:$J$48)</f>
        <v>240.25</v>
      </c>
      <c r="E13" s="15" t="n">
        <f aca="false">SUMIF(전체내역!$A$5:$A$48,A13,전체내역!$K$5:$K$48)</f>
        <v>372387.5</v>
      </c>
      <c r="F13" s="16" t="n">
        <f aca="false">D13/$B$5</f>
        <v>0.152773255873106</v>
      </c>
    </row>
    <row r="14" customFormat="false" ht="15" hidden="false" customHeight="false" outlineLevel="0" collapsed="false">
      <c r="A14" s="22" t="s">
        <v>18</v>
      </c>
      <c r="B14" s="23" t="n">
        <f aca="false">SUM(B9:B13)</f>
        <v>966</v>
      </c>
      <c r="C14" s="23" t="n">
        <f aca="false">SUM(C9:C13)</f>
        <v>606.592</v>
      </c>
      <c r="D14" s="23" t="n">
        <f aca="false">SUM(D9:D13)</f>
        <v>1572.592</v>
      </c>
      <c r="E14" s="24" t="n">
        <f aca="false">SUM(E9:E13)</f>
        <v>2437517.6</v>
      </c>
      <c r="F14" s="25" t="n">
        <f aca="false">D14/$B$5</f>
        <v>1</v>
      </c>
    </row>
    <row r="16" customFormat="false" ht="15" hidden="false" customHeight="false" outlineLevel="0" collapsed="false">
      <c r="A16" s="10" t="s">
        <v>19</v>
      </c>
    </row>
    <row r="17" customFormat="false" ht="15" hidden="false" customHeight="false" outlineLevel="0" collapsed="false">
      <c r="A17" s="26" t="s">
        <v>20</v>
      </c>
      <c r="B17" s="26" t="s">
        <v>21</v>
      </c>
      <c r="C17" s="26" t="s">
        <v>22</v>
      </c>
      <c r="D17" s="26" t="s">
        <v>12</v>
      </c>
    </row>
    <row r="18" customFormat="false" ht="15" hidden="false" customHeight="false" outlineLevel="0" collapsed="false">
      <c r="A18" s="27" t="s">
        <v>23</v>
      </c>
      <c r="B18" s="13" t="n">
        <f aca="false">SUMIF(전체내역!$B$5:$B$48,A18,전체내역!$J$5:$J$48)</f>
        <v>966</v>
      </c>
      <c r="C18" s="15" t="n">
        <f aca="false">SUMIF(전체내역!$B$5:$B$48,A18,전체내역!$K$5:$K$48)</f>
        <v>1497300</v>
      </c>
      <c r="D18" s="16" t="n">
        <f aca="false">B18/$B$5</f>
        <v>0.61427248771455</v>
      </c>
    </row>
    <row r="19" customFormat="false" ht="15" hidden="false" customHeight="false" outlineLevel="0" collapsed="false">
      <c r="A19" s="28" t="s">
        <v>24</v>
      </c>
      <c r="B19" s="18" t="n">
        <f aca="false">SUMIF(전체내역!$B$5:$B$48,A19,전체내역!$J$5:$J$48)</f>
        <v>256</v>
      </c>
      <c r="C19" s="20" t="n">
        <f aca="false">SUMIF(전체내역!$B$5:$B$48,A19,전체내역!$K$5:$K$48)</f>
        <v>396800</v>
      </c>
      <c r="D19" s="21" t="n">
        <f aca="false">B19/$B$5</f>
        <v>0.1627885681728</v>
      </c>
    </row>
    <row r="20" customFormat="false" ht="15" hidden="false" customHeight="false" outlineLevel="0" collapsed="false">
      <c r="A20" s="29" t="s">
        <v>25</v>
      </c>
      <c r="B20" s="13" t="n">
        <f aca="false">SUMIF(전체내역!$B$5:$B$48,A20,전체내역!$J$5:$J$48)</f>
        <v>55.13</v>
      </c>
      <c r="C20" s="15" t="n">
        <f aca="false">SUMIF(전체내역!$B$5:$B$48,A20,전체내역!$K$5:$K$48)</f>
        <v>85451.5</v>
      </c>
      <c r="D20" s="16" t="n">
        <f aca="false">B20/$B$5</f>
        <v>0.0350567725131503</v>
      </c>
    </row>
    <row r="21" customFormat="false" ht="15" hidden="false" customHeight="false" outlineLevel="0" collapsed="false">
      <c r="A21" s="28" t="s">
        <v>26</v>
      </c>
      <c r="B21" s="18" t="n">
        <f aca="false">SUMIF(전체내역!$B$5:$B$48,A21,전체내역!$J$5:$J$48)</f>
        <v>141.95</v>
      </c>
      <c r="C21" s="20" t="n">
        <f aca="false">SUMIF(전체내역!$B$5:$B$48,A21,전체내역!$K$5:$K$48)</f>
        <v>220022.5</v>
      </c>
      <c r="D21" s="21" t="n">
        <f aca="false">B21/$B$5</f>
        <v>0.0902649892661288</v>
      </c>
    </row>
    <row r="22" customFormat="false" ht="15" hidden="false" customHeight="false" outlineLevel="0" collapsed="false">
      <c r="A22" s="27" t="s">
        <v>27</v>
      </c>
      <c r="B22" s="13" t="n">
        <f aca="false">SUMIF(전체내역!$B$5:$B$48,A22,전체내역!$J$5:$J$48)</f>
        <v>139.262</v>
      </c>
      <c r="C22" s="15" t="n">
        <f aca="false">SUMIF(전체내역!$B$5:$B$48,A22,전체내역!$K$5:$K$48)</f>
        <v>215856.1</v>
      </c>
      <c r="D22" s="16" t="n">
        <f aca="false">B22/$B$5</f>
        <v>0.0885557093003144</v>
      </c>
    </row>
    <row r="23" customFormat="false" ht="15" hidden="false" customHeight="false" outlineLevel="0" collapsed="false">
      <c r="A23" s="30" t="s">
        <v>28</v>
      </c>
      <c r="B23" s="18" t="n">
        <f aca="false">SUMIF(전체내역!$B$5:$B$48,A23,전체내역!$J$5:$J$48)</f>
        <v>14.25</v>
      </c>
      <c r="C23" s="20" t="n">
        <f aca="false">SUMIF(전체내역!$B$5:$B$48,A23,전체내역!$K$5:$K$48)</f>
        <v>22087.5</v>
      </c>
      <c r="D23" s="21" t="n">
        <f aca="false">B23/$B$5</f>
        <v>0.00906147303305625</v>
      </c>
    </row>
    <row r="24" customFormat="false" ht="15" hidden="false" customHeight="false" outlineLevel="0" collapsed="false">
      <c r="A24" s="31" t="s">
        <v>18</v>
      </c>
      <c r="B24" s="23" t="n">
        <f aca="false">SUM(B18:B23)</f>
        <v>1572.592</v>
      </c>
      <c r="C24" s="24" t="n">
        <f aca="false">SUM(C18:C23)</f>
        <v>2437517.6</v>
      </c>
      <c r="D24" s="25" t="n">
        <f aca="false">B24/$B$5</f>
        <v>1</v>
      </c>
    </row>
    <row r="26" customFormat="false" ht="17.15" hidden="false" customHeight="false" outlineLevel="0" collapsed="false">
      <c r="A26" s="10" t="s">
        <v>29</v>
      </c>
    </row>
    <row r="27" customFormat="false" ht="15" hidden="false" customHeight="false" outlineLevel="0" collapsed="false">
      <c r="A27" s="11" t="s">
        <v>30</v>
      </c>
      <c r="B27" s="11" t="s">
        <v>31</v>
      </c>
      <c r="C27" s="11" t="s">
        <v>32</v>
      </c>
      <c r="D27" s="11" t="s">
        <v>21</v>
      </c>
      <c r="E27" s="11" t="s">
        <v>22</v>
      </c>
      <c r="F27" s="11" t="s">
        <v>33</v>
      </c>
    </row>
    <row r="28" customFormat="false" ht="30" hidden="false" customHeight="true" outlineLevel="0" collapsed="false">
      <c r="A28" s="32" t="s">
        <v>34</v>
      </c>
      <c r="B28" s="33" t="s">
        <v>35</v>
      </c>
      <c r="C28" s="34" t="s">
        <v>36</v>
      </c>
      <c r="D28" s="14" t="n">
        <f aca="false">SUMIF(전체내역!$C$5:$C$48,A28,전체내역!$J$5:$J$48)</f>
        <v>600</v>
      </c>
      <c r="E28" s="15" t="n">
        <f aca="false">SUMIF(전체내역!$C$5:$C$48,A28,전체내역!$K$5:$K$48)</f>
        <v>930000</v>
      </c>
      <c r="F28" s="34" t="s">
        <v>37</v>
      </c>
    </row>
    <row r="29" customFormat="false" ht="30" hidden="false" customHeight="true" outlineLevel="0" collapsed="false">
      <c r="A29" s="35" t="s">
        <v>38</v>
      </c>
      <c r="B29" s="36" t="s">
        <v>35</v>
      </c>
      <c r="C29" s="37" t="s">
        <v>39</v>
      </c>
      <c r="D29" s="19" t="n">
        <f aca="false">SUMIF(전체내역!$C$5:$C$48,A29,전체내역!$J$5:$J$48)</f>
        <v>260</v>
      </c>
      <c r="E29" s="20" t="n">
        <f aca="false">SUMIF(전체내역!$C$5:$C$48,A29,전체내역!$K$5:$K$48)</f>
        <v>403000</v>
      </c>
      <c r="F29" s="38" t="s">
        <v>40</v>
      </c>
    </row>
    <row r="30" customFormat="false" ht="30" hidden="false" customHeight="true" outlineLevel="0" collapsed="false">
      <c r="A30" s="32" t="s">
        <v>41</v>
      </c>
      <c r="B30" s="33" t="s">
        <v>42</v>
      </c>
      <c r="C30" s="34" t="s">
        <v>43</v>
      </c>
      <c r="D30" s="14" t="n">
        <f aca="false">SUMIF(전체내역!$C$5:$C$48,A30,전체내역!$J$5:$J$48)</f>
        <v>100</v>
      </c>
      <c r="E30" s="15" t="n">
        <f aca="false">SUMIF(전체내역!$C$5:$C$48,A30,전체내역!$K$5:$K$48)</f>
        <v>155000</v>
      </c>
      <c r="F30" s="39" t="s">
        <v>44</v>
      </c>
    </row>
    <row r="31" customFormat="false" ht="30" hidden="false" customHeight="true" outlineLevel="0" collapsed="false">
      <c r="A31" s="35" t="s">
        <v>45</v>
      </c>
      <c r="B31" s="36" t="s">
        <v>46</v>
      </c>
      <c r="C31" s="37" t="s">
        <v>47</v>
      </c>
      <c r="D31" s="19" t="n">
        <f aca="false">SUMIF(전체내역!$C$5:$C$48,A31,전체내역!$J$5:$J$48)</f>
        <v>6</v>
      </c>
      <c r="E31" s="20" t="n">
        <f aca="false">SUMIF(전체내역!$C$5:$C$48,A31,전체내역!$K$5:$K$48)</f>
        <v>9300</v>
      </c>
      <c r="F31" s="38" t="s">
        <v>48</v>
      </c>
    </row>
    <row r="32" customFormat="false" ht="30" hidden="false" customHeight="true" outlineLevel="0" collapsed="false">
      <c r="A32" s="32" t="s">
        <v>49</v>
      </c>
      <c r="B32" s="33" t="s">
        <v>50</v>
      </c>
      <c r="C32" s="34" t="s">
        <v>43</v>
      </c>
      <c r="D32" s="14" t="n">
        <f aca="false">SUMIF(전체내역!$C$5:$C$48,A32,전체내역!$J$5:$J$48)</f>
        <v>256</v>
      </c>
      <c r="E32" s="15" t="n">
        <f aca="false">SUMIF(전체내역!$C$5:$C$48,A32,전체내역!$K$5:$K$48)</f>
        <v>396800</v>
      </c>
      <c r="F32" s="39" t="s">
        <v>51</v>
      </c>
    </row>
    <row r="33" customFormat="false" ht="30" hidden="false" customHeight="true" outlineLevel="0" collapsed="false">
      <c r="A33" s="35" t="s">
        <v>52</v>
      </c>
      <c r="B33" s="40" t="s">
        <v>53</v>
      </c>
      <c r="C33" s="37" t="s">
        <v>54</v>
      </c>
      <c r="D33" s="19" t="n">
        <f aca="false">SUMIF(전체내역!$C$5:$C$48,A33,전체내역!$J$5:$J$48)</f>
        <v>25.8</v>
      </c>
      <c r="E33" s="20" t="n">
        <f aca="false">SUMIF(전체내역!$C$5:$C$48,A33,전체내역!$K$5:$K$48)</f>
        <v>39990</v>
      </c>
      <c r="F33" s="38" t="s">
        <v>55</v>
      </c>
    </row>
    <row r="34" customFormat="false" ht="30" hidden="false" customHeight="true" outlineLevel="0" collapsed="false">
      <c r="A34" s="32" t="s">
        <v>56</v>
      </c>
      <c r="B34" s="41" t="s">
        <v>53</v>
      </c>
      <c r="C34" s="34" t="s">
        <v>57</v>
      </c>
      <c r="D34" s="14" t="n">
        <f aca="false">SUMIF(전체내역!$C$5:$C$48,A34,전체내역!$J$5:$J$48)</f>
        <v>29.33</v>
      </c>
      <c r="E34" s="15" t="n">
        <f aca="false">SUMIF(전체내역!$C$5:$C$48,A34,전체내역!$K$5:$K$48)</f>
        <v>45461.5</v>
      </c>
      <c r="F34" s="39" t="s">
        <v>58</v>
      </c>
    </row>
    <row r="35" customFormat="false" ht="30" hidden="false" customHeight="true" outlineLevel="0" collapsed="false">
      <c r="A35" s="35" t="s">
        <v>59</v>
      </c>
      <c r="B35" s="40" t="s">
        <v>53</v>
      </c>
      <c r="C35" s="37" t="s">
        <v>60</v>
      </c>
      <c r="D35" s="19" t="n">
        <f aca="false">SUMIF(전체내역!$C$5:$C$48,A35,전체내역!$J$5:$J$48)</f>
        <v>24.95</v>
      </c>
      <c r="E35" s="20" t="n">
        <f aca="false">SUMIF(전체내역!$C$5:$C$48,A35,전체내역!$K$5:$K$48)</f>
        <v>38672.5</v>
      </c>
      <c r="F35" s="38" t="s">
        <v>61</v>
      </c>
    </row>
    <row r="36" customFormat="false" ht="30" hidden="false" customHeight="true" outlineLevel="0" collapsed="false">
      <c r="A36" s="32" t="s">
        <v>62</v>
      </c>
      <c r="B36" s="41" t="s">
        <v>53</v>
      </c>
      <c r="C36" s="34" t="s">
        <v>63</v>
      </c>
      <c r="D36" s="14" t="n">
        <f aca="false">SUMIF(전체내역!$C$5:$C$48,A36,전체내역!$J$5:$J$48)</f>
        <v>117</v>
      </c>
      <c r="E36" s="15" t="n">
        <f aca="false">SUMIF(전체내역!$C$5:$C$48,A36,전체내역!$K$5:$K$48)</f>
        <v>181350</v>
      </c>
      <c r="F36" s="39" t="s">
        <v>26</v>
      </c>
    </row>
    <row r="37" customFormat="false" ht="30" hidden="false" customHeight="true" outlineLevel="0" collapsed="false">
      <c r="A37" s="35" t="s">
        <v>64</v>
      </c>
      <c r="B37" s="40" t="s">
        <v>53</v>
      </c>
      <c r="C37" s="37" t="s">
        <v>65</v>
      </c>
      <c r="D37" s="19" t="n">
        <f aca="false">SUMIF(전체내역!$C$5:$C$48,A37,전체내역!$J$5:$J$48)</f>
        <v>139.262</v>
      </c>
      <c r="E37" s="20" t="n">
        <f aca="false">SUMIF(전체내역!$C$5:$C$48,A37,전체내역!$K$5:$K$48)</f>
        <v>215856.1</v>
      </c>
      <c r="F37" s="38" t="s">
        <v>66</v>
      </c>
    </row>
    <row r="38" customFormat="false" ht="30" hidden="false" customHeight="true" outlineLevel="0" collapsed="false">
      <c r="A38" s="32" t="s">
        <v>67</v>
      </c>
      <c r="B38" s="41" t="s">
        <v>53</v>
      </c>
      <c r="C38" s="34" t="s">
        <v>68</v>
      </c>
      <c r="D38" s="14" t="n">
        <f aca="false">SUMIF(전체내역!$C$5:$C$48,A38,전체내역!$J$5:$J$48)</f>
        <v>9</v>
      </c>
      <c r="E38" s="15" t="n">
        <f aca="false">SUMIF(전체내역!$C$5:$C$48,A38,전체내역!$K$5:$K$48)</f>
        <v>13950</v>
      </c>
      <c r="F38" s="39" t="s">
        <v>69</v>
      </c>
    </row>
    <row r="39" customFormat="false" ht="30" hidden="false" customHeight="true" outlineLevel="0" collapsed="false">
      <c r="A39" s="35" t="s">
        <v>70</v>
      </c>
      <c r="B39" s="40" t="s">
        <v>53</v>
      </c>
      <c r="C39" s="37" t="s">
        <v>68</v>
      </c>
      <c r="D39" s="19" t="n">
        <f aca="false">SUMIF(전체내역!$C$5:$C$48,A39,전체내역!$J$5:$J$48)</f>
        <v>5.25</v>
      </c>
      <c r="E39" s="20" t="n">
        <f aca="false">SUMIF(전체내역!$C$5:$C$48,A39,전체내역!$K$5:$K$48)</f>
        <v>8137.5</v>
      </c>
      <c r="F39" s="38" t="s">
        <v>71</v>
      </c>
    </row>
    <row r="40" customFormat="false" ht="15" hidden="false" customHeight="false" outlineLevel="0" collapsed="false">
      <c r="A40" s="22" t="s">
        <v>18</v>
      </c>
      <c r="B40" s="42"/>
      <c r="C40" s="42"/>
      <c r="D40" s="23" t="n">
        <f aca="false">SUM(D28:D39)</f>
        <v>1572.592</v>
      </c>
      <c r="E40" s="24" t="n">
        <f aca="false">SUM(E28:E39)</f>
        <v>2437517.6</v>
      </c>
      <c r="F40" s="42"/>
    </row>
  </sheetData>
  <mergeCells count="1">
    <mergeCell ref="D5:F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2"/>
    <col collapsed="false" customWidth="true" hidden="false" outlineLevel="0" max="13" min="13" style="0" width="20"/>
  </cols>
  <sheetData>
    <row r="1" customFormat="false" ht="20.1" hidden="false" customHeight="false" outlineLevel="0" collapsed="false">
      <c r="A1" s="43" t="s">
        <v>72</v>
      </c>
    </row>
    <row r="2" customFormat="false" ht="15" hidden="false" customHeight="false" outlineLevel="0" collapsed="false">
      <c r="A2" s="3" t="s">
        <v>73</v>
      </c>
      <c r="B2" s="4" t="n">
        <v>1550</v>
      </c>
      <c r="C2" s="5" t="s">
        <v>74</v>
      </c>
    </row>
    <row r="4" customFormat="false" ht="15" hidden="false" customHeight="false" outlineLevel="0" collapsed="false">
      <c r="A4" s="44" t="s">
        <v>7</v>
      </c>
      <c r="B4" s="44" t="s">
        <v>20</v>
      </c>
      <c r="C4" s="44" t="s">
        <v>75</v>
      </c>
      <c r="D4" s="44" t="s">
        <v>76</v>
      </c>
      <c r="E4" s="44" t="s">
        <v>77</v>
      </c>
      <c r="F4" s="44" t="s">
        <v>78</v>
      </c>
      <c r="G4" s="44" t="s">
        <v>79</v>
      </c>
      <c r="H4" s="44" t="s">
        <v>80</v>
      </c>
      <c r="I4" s="44" t="s">
        <v>81</v>
      </c>
      <c r="J4" s="44" t="s">
        <v>82</v>
      </c>
      <c r="K4" s="44" t="s">
        <v>83</v>
      </c>
      <c r="L4" s="44" t="s">
        <v>84</v>
      </c>
      <c r="M4" s="44" t="s">
        <v>85</v>
      </c>
    </row>
    <row r="5" customFormat="false" ht="15" hidden="false" customHeight="false" outlineLevel="0" collapsed="false">
      <c r="A5" s="45" t="s">
        <v>13</v>
      </c>
      <c r="B5" s="46" t="s">
        <v>23</v>
      </c>
      <c r="C5" s="47" t="s">
        <v>34</v>
      </c>
      <c r="D5" s="48" t="s">
        <v>34</v>
      </c>
      <c r="E5" s="49" t="s">
        <v>86</v>
      </c>
      <c r="F5" s="49" t="s">
        <v>87</v>
      </c>
      <c r="G5" s="50" t="n">
        <v>30</v>
      </c>
      <c r="H5" s="51" t="n">
        <v>4</v>
      </c>
      <c r="I5" s="49" t="s">
        <v>88</v>
      </c>
      <c r="J5" s="52" t="n">
        <f aca="false">G5*H5</f>
        <v>120</v>
      </c>
      <c r="K5" s="53" t="n">
        <f aca="false">J5*전체내역!$B$2</f>
        <v>186000</v>
      </c>
      <c r="L5" s="48" t="s">
        <v>89</v>
      </c>
      <c r="M5" s="54" t="s">
        <v>90</v>
      </c>
    </row>
    <row r="6" customFormat="false" ht="15" hidden="false" customHeight="false" outlineLevel="0" collapsed="false">
      <c r="A6" s="55" t="s">
        <v>13</v>
      </c>
      <c r="B6" s="56" t="s">
        <v>23</v>
      </c>
      <c r="C6" s="57" t="s">
        <v>38</v>
      </c>
      <c r="D6" s="58" t="s">
        <v>38</v>
      </c>
      <c r="E6" s="59" t="s">
        <v>86</v>
      </c>
      <c r="F6" s="59" t="s">
        <v>87</v>
      </c>
      <c r="G6" s="60" t="n">
        <v>20</v>
      </c>
      <c r="H6" s="61" t="n">
        <v>2</v>
      </c>
      <c r="I6" s="59" t="s">
        <v>88</v>
      </c>
      <c r="J6" s="62" t="n">
        <f aca="false">G6*H6</f>
        <v>40</v>
      </c>
      <c r="K6" s="63" t="n">
        <f aca="false">J6*전체내역!$B$2</f>
        <v>62000</v>
      </c>
      <c r="L6" s="58" t="s">
        <v>91</v>
      </c>
      <c r="M6" s="64"/>
    </row>
    <row r="7" customFormat="false" ht="15" hidden="false" customHeight="false" outlineLevel="0" collapsed="false">
      <c r="A7" s="45" t="s">
        <v>13</v>
      </c>
      <c r="B7" s="46" t="s">
        <v>23</v>
      </c>
      <c r="C7" s="47" t="s">
        <v>41</v>
      </c>
      <c r="D7" s="48" t="s">
        <v>41</v>
      </c>
      <c r="E7" s="49" t="s">
        <v>92</v>
      </c>
      <c r="F7" s="49" t="s">
        <v>87</v>
      </c>
      <c r="G7" s="50" t="n">
        <v>20</v>
      </c>
      <c r="H7" s="51" t="n">
        <v>1</v>
      </c>
      <c r="I7" s="49" t="s">
        <v>93</v>
      </c>
      <c r="J7" s="52" t="n">
        <f aca="false">G7*H7</f>
        <v>20</v>
      </c>
      <c r="K7" s="53" t="n">
        <f aca="false">J7*전체내역!$B$2</f>
        <v>31000</v>
      </c>
      <c r="L7" s="65" t="s">
        <v>94</v>
      </c>
      <c r="M7" s="54"/>
    </row>
    <row r="8" customFormat="false" ht="15" hidden="false" customHeight="false" outlineLevel="0" collapsed="false">
      <c r="A8" s="55" t="s">
        <v>13</v>
      </c>
      <c r="B8" s="56" t="s">
        <v>95</v>
      </c>
      <c r="C8" s="57" t="s">
        <v>49</v>
      </c>
      <c r="D8" s="58" t="s">
        <v>96</v>
      </c>
      <c r="E8" s="59" t="s">
        <v>92</v>
      </c>
      <c r="F8" s="59" t="s">
        <v>97</v>
      </c>
      <c r="G8" s="60" t="n">
        <v>100</v>
      </c>
      <c r="H8" s="61" t="n">
        <v>1</v>
      </c>
      <c r="I8" s="59" t="s">
        <v>93</v>
      </c>
      <c r="J8" s="62" t="n">
        <f aca="false">G8*H8</f>
        <v>100</v>
      </c>
      <c r="K8" s="63" t="n">
        <f aca="false">J8*전체내역!$B$2</f>
        <v>155000</v>
      </c>
      <c r="L8" s="58" t="s">
        <v>98</v>
      </c>
      <c r="M8" s="66" t="s">
        <v>99</v>
      </c>
    </row>
    <row r="9" customFormat="false" ht="15" hidden="false" customHeight="false" outlineLevel="0" collapsed="false">
      <c r="A9" s="45" t="s">
        <v>13</v>
      </c>
      <c r="B9" s="47" t="s">
        <v>25</v>
      </c>
      <c r="C9" s="47" t="s">
        <v>52</v>
      </c>
      <c r="D9" s="48" t="s">
        <v>100</v>
      </c>
      <c r="E9" s="45" t="s">
        <v>101</v>
      </c>
      <c r="F9" s="49" t="s">
        <v>97</v>
      </c>
      <c r="G9" s="50" t="n">
        <v>0.015</v>
      </c>
      <c r="H9" s="51" t="n">
        <v>350</v>
      </c>
      <c r="I9" s="49" t="s">
        <v>102</v>
      </c>
      <c r="J9" s="52" t="n">
        <f aca="false">G9*H9</f>
        <v>5.25</v>
      </c>
      <c r="K9" s="53" t="n">
        <f aca="false">J9*전체내역!$B$2</f>
        <v>8137.5</v>
      </c>
      <c r="L9" s="65" t="s">
        <v>103</v>
      </c>
      <c r="M9" s="54" t="s">
        <v>104</v>
      </c>
    </row>
    <row r="10" customFormat="false" ht="15" hidden="false" customHeight="false" outlineLevel="0" collapsed="false">
      <c r="A10" s="55" t="s">
        <v>13</v>
      </c>
      <c r="B10" s="57" t="s">
        <v>25</v>
      </c>
      <c r="C10" s="57" t="s">
        <v>56</v>
      </c>
      <c r="D10" s="58" t="s">
        <v>56</v>
      </c>
      <c r="E10" s="55" t="s">
        <v>101</v>
      </c>
      <c r="F10" s="59" t="s">
        <v>97</v>
      </c>
      <c r="G10" s="60" t="n">
        <v>0.0088</v>
      </c>
      <c r="H10" s="61" t="n">
        <v>350</v>
      </c>
      <c r="I10" s="59" t="s">
        <v>102</v>
      </c>
      <c r="J10" s="62" t="n">
        <f aca="false">G10*H10</f>
        <v>3.08</v>
      </c>
      <c r="K10" s="63" t="n">
        <f aca="false">J10*전체내역!$B$2</f>
        <v>4774</v>
      </c>
      <c r="L10" s="67" t="s">
        <v>105</v>
      </c>
      <c r="M10" s="64" t="s">
        <v>106</v>
      </c>
    </row>
    <row r="11" customFormat="false" ht="15" hidden="false" customHeight="false" outlineLevel="0" collapsed="false">
      <c r="A11" s="45" t="s">
        <v>13</v>
      </c>
      <c r="B11" s="46" t="s">
        <v>26</v>
      </c>
      <c r="C11" s="47" t="s">
        <v>59</v>
      </c>
      <c r="D11" s="48" t="s">
        <v>107</v>
      </c>
      <c r="E11" s="45" t="s">
        <v>101</v>
      </c>
      <c r="F11" s="49" t="s">
        <v>97</v>
      </c>
      <c r="G11" s="50" t="n">
        <v>0.006</v>
      </c>
      <c r="H11" s="51" t="n">
        <v>150</v>
      </c>
      <c r="I11" s="49" t="s">
        <v>108</v>
      </c>
      <c r="J11" s="52" t="n">
        <f aca="false">G11*H11</f>
        <v>0.9</v>
      </c>
      <c r="K11" s="53" t="n">
        <f aca="false">J11*전체내역!$B$2</f>
        <v>1395</v>
      </c>
      <c r="L11" s="65" t="s">
        <v>109</v>
      </c>
      <c r="M11" s="54"/>
    </row>
    <row r="12" customFormat="false" ht="15" hidden="false" customHeight="false" outlineLevel="0" collapsed="false">
      <c r="A12" s="55" t="s">
        <v>13</v>
      </c>
      <c r="B12" s="56" t="s">
        <v>26</v>
      </c>
      <c r="C12" s="57" t="s">
        <v>59</v>
      </c>
      <c r="D12" s="58" t="s">
        <v>110</v>
      </c>
      <c r="E12" s="55" t="s">
        <v>101</v>
      </c>
      <c r="F12" s="59" t="s">
        <v>97</v>
      </c>
      <c r="G12" s="60" t="n">
        <v>0.053</v>
      </c>
      <c r="H12" s="61" t="n">
        <v>80</v>
      </c>
      <c r="I12" s="59" t="s">
        <v>108</v>
      </c>
      <c r="J12" s="62" t="n">
        <f aca="false">G12*H12</f>
        <v>4.24</v>
      </c>
      <c r="K12" s="63" t="n">
        <f aca="false">J12*전체내역!$B$2</f>
        <v>6572</v>
      </c>
      <c r="L12" s="67" t="s">
        <v>111</v>
      </c>
      <c r="M12" s="64"/>
    </row>
    <row r="13" customFormat="false" ht="15" hidden="false" customHeight="false" outlineLevel="0" collapsed="false">
      <c r="A13" s="45" t="s">
        <v>13</v>
      </c>
      <c r="B13" s="46" t="s">
        <v>26</v>
      </c>
      <c r="C13" s="47" t="s">
        <v>59</v>
      </c>
      <c r="D13" s="48" t="s">
        <v>112</v>
      </c>
      <c r="E13" s="45" t="s">
        <v>101</v>
      </c>
      <c r="F13" s="49" t="s">
        <v>97</v>
      </c>
      <c r="G13" s="50" t="n">
        <v>0.211</v>
      </c>
      <c r="H13" s="51" t="n">
        <v>70</v>
      </c>
      <c r="I13" s="49" t="s">
        <v>108</v>
      </c>
      <c r="J13" s="52" t="n">
        <f aca="false">G13*H13</f>
        <v>14.77</v>
      </c>
      <c r="K13" s="53" t="n">
        <f aca="false">J13*전체내역!$B$2</f>
        <v>22893.5</v>
      </c>
      <c r="L13" s="65" t="s">
        <v>113</v>
      </c>
      <c r="M13" s="54"/>
    </row>
    <row r="14" customFormat="false" ht="15" hidden="false" customHeight="false" outlineLevel="0" collapsed="false">
      <c r="A14" s="55" t="s">
        <v>13</v>
      </c>
      <c r="B14" s="56" t="s">
        <v>27</v>
      </c>
      <c r="C14" s="57" t="s">
        <v>64</v>
      </c>
      <c r="D14" s="58" t="s">
        <v>114</v>
      </c>
      <c r="E14" s="55" t="s">
        <v>101</v>
      </c>
      <c r="F14" s="59" t="s">
        <v>97</v>
      </c>
      <c r="G14" s="60" t="n">
        <v>0.11</v>
      </c>
      <c r="H14" s="61" t="n">
        <v>40</v>
      </c>
      <c r="I14" s="59" t="s">
        <v>115</v>
      </c>
      <c r="J14" s="62" t="n">
        <f aca="false">G14*H14</f>
        <v>4.4</v>
      </c>
      <c r="K14" s="63" t="n">
        <f aca="false">J14*전체내역!$B$2</f>
        <v>6820</v>
      </c>
      <c r="L14" s="67" t="s">
        <v>116</v>
      </c>
      <c r="M14" s="64" t="s">
        <v>117</v>
      </c>
    </row>
    <row r="15" customFormat="false" ht="15" hidden="false" customHeight="false" outlineLevel="0" collapsed="false">
      <c r="A15" s="45" t="s">
        <v>13</v>
      </c>
      <c r="B15" s="46" t="s">
        <v>27</v>
      </c>
      <c r="C15" s="47" t="s">
        <v>64</v>
      </c>
      <c r="D15" s="48" t="s">
        <v>118</v>
      </c>
      <c r="E15" s="45" t="s">
        <v>101</v>
      </c>
      <c r="F15" s="49" t="s">
        <v>97</v>
      </c>
      <c r="G15" s="50" t="n">
        <v>0.3034</v>
      </c>
      <c r="H15" s="51" t="n">
        <v>50</v>
      </c>
      <c r="I15" s="49" t="s">
        <v>115</v>
      </c>
      <c r="J15" s="52" t="n">
        <f aca="false">G15*H15</f>
        <v>15.17</v>
      </c>
      <c r="K15" s="53" t="n">
        <f aca="false">J15*전체내역!$B$2</f>
        <v>23513.5</v>
      </c>
      <c r="L15" s="65" t="s">
        <v>119</v>
      </c>
      <c r="M15" s="54" t="s">
        <v>120</v>
      </c>
    </row>
    <row r="16" customFormat="false" ht="15" hidden="false" customHeight="false" outlineLevel="0" collapsed="false">
      <c r="A16" s="55" t="s">
        <v>13</v>
      </c>
      <c r="B16" s="56" t="s">
        <v>27</v>
      </c>
      <c r="C16" s="57" t="s">
        <v>64</v>
      </c>
      <c r="D16" s="58" t="s">
        <v>121</v>
      </c>
      <c r="E16" s="55" t="s">
        <v>101</v>
      </c>
      <c r="F16" s="59" t="s">
        <v>97</v>
      </c>
      <c r="G16" s="60" t="n">
        <v>0.3034</v>
      </c>
      <c r="H16" s="61" t="n">
        <v>60</v>
      </c>
      <c r="I16" s="59" t="s">
        <v>115</v>
      </c>
      <c r="J16" s="62" t="n">
        <f aca="false">G16*H16</f>
        <v>18.204</v>
      </c>
      <c r="K16" s="63" t="n">
        <f aca="false">J16*전체내역!$B$2</f>
        <v>28216.2</v>
      </c>
      <c r="L16" s="67" t="s">
        <v>122</v>
      </c>
      <c r="M16" s="64" t="s">
        <v>123</v>
      </c>
    </row>
    <row r="17" customFormat="false" ht="15" hidden="false" customHeight="false" outlineLevel="0" collapsed="false">
      <c r="A17" s="45" t="s">
        <v>13</v>
      </c>
      <c r="B17" s="46" t="s">
        <v>27</v>
      </c>
      <c r="C17" s="47" t="s">
        <v>64</v>
      </c>
      <c r="D17" s="48" t="s">
        <v>124</v>
      </c>
      <c r="E17" s="45" t="s">
        <v>101</v>
      </c>
      <c r="F17" s="49" t="s">
        <v>97</v>
      </c>
      <c r="G17" s="50" t="n">
        <v>0.3034</v>
      </c>
      <c r="H17" s="51" t="n">
        <v>105</v>
      </c>
      <c r="I17" s="49" t="s">
        <v>115</v>
      </c>
      <c r="J17" s="52" t="n">
        <f aca="false">G17*H17</f>
        <v>31.857</v>
      </c>
      <c r="K17" s="53" t="n">
        <f aca="false">J17*전체내역!$B$2</f>
        <v>49378.35</v>
      </c>
      <c r="L17" s="65" t="s">
        <v>125</v>
      </c>
      <c r="M17" s="54" t="s">
        <v>126</v>
      </c>
    </row>
    <row r="18" customFormat="false" ht="15" hidden="false" customHeight="false" outlineLevel="0" collapsed="false">
      <c r="A18" s="55" t="s">
        <v>14</v>
      </c>
      <c r="B18" s="56" t="s">
        <v>23</v>
      </c>
      <c r="C18" s="57" t="s">
        <v>34</v>
      </c>
      <c r="D18" s="58" t="s">
        <v>34</v>
      </c>
      <c r="E18" s="59" t="s">
        <v>86</v>
      </c>
      <c r="F18" s="59" t="s">
        <v>87</v>
      </c>
      <c r="G18" s="60" t="n">
        <v>30</v>
      </c>
      <c r="H18" s="61" t="n">
        <v>4</v>
      </c>
      <c r="I18" s="59" t="s">
        <v>88</v>
      </c>
      <c r="J18" s="62" t="n">
        <f aca="false">G18*H18</f>
        <v>120</v>
      </c>
      <c r="K18" s="63" t="n">
        <f aca="false">J18*전체내역!$B$2</f>
        <v>186000</v>
      </c>
      <c r="L18" s="58" t="s">
        <v>127</v>
      </c>
      <c r="M18" s="64" t="s">
        <v>90</v>
      </c>
    </row>
    <row r="19" customFormat="false" ht="15" hidden="false" customHeight="false" outlineLevel="0" collapsed="false">
      <c r="A19" s="45" t="s">
        <v>14</v>
      </c>
      <c r="B19" s="46" t="s">
        <v>23</v>
      </c>
      <c r="C19" s="47" t="s">
        <v>38</v>
      </c>
      <c r="D19" s="48" t="s">
        <v>38</v>
      </c>
      <c r="E19" s="49" t="s">
        <v>86</v>
      </c>
      <c r="F19" s="49" t="s">
        <v>87</v>
      </c>
      <c r="G19" s="50" t="n">
        <v>20</v>
      </c>
      <c r="H19" s="51" t="n">
        <v>2</v>
      </c>
      <c r="I19" s="49" t="s">
        <v>88</v>
      </c>
      <c r="J19" s="52" t="n">
        <f aca="false">G19*H19</f>
        <v>40</v>
      </c>
      <c r="K19" s="53" t="n">
        <f aca="false">J19*전체내역!$B$2</f>
        <v>62000</v>
      </c>
      <c r="L19" s="48" t="s">
        <v>128</v>
      </c>
      <c r="M19" s="54"/>
    </row>
    <row r="20" customFormat="false" ht="15" hidden="false" customHeight="false" outlineLevel="0" collapsed="false">
      <c r="A20" s="55" t="s">
        <v>14</v>
      </c>
      <c r="B20" s="56" t="s">
        <v>23</v>
      </c>
      <c r="C20" s="57" t="s">
        <v>41</v>
      </c>
      <c r="D20" s="58" t="s">
        <v>41</v>
      </c>
      <c r="E20" s="59" t="s">
        <v>92</v>
      </c>
      <c r="F20" s="59" t="s">
        <v>87</v>
      </c>
      <c r="G20" s="60" t="n">
        <v>20</v>
      </c>
      <c r="H20" s="61" t="n">
        <v>1</v>
      </c>
      <c r="I20" s="59" t="s">
        <v>93</v>
      </c>
      <c r="J20" s="62" t="n">
        <f aca="false">G20*H20</f>
        <v>20</v>
      </c>
      <c r="K20" s="63" t="n">
        <f aca="false">J20*전체내역!$B$2</f>
        <v>31000</v>
      </c>
      <c r="L20" s="67" t="s">
        <v>129</v>
      </c>
      <c r="M20" s="64"/>
    </row>
    <row r="21" customFormat="false" ht="15" hidden="false" customHeight="false" outlineLevel="0" collapsed="false">
      <c r="A21" s="45" t="s">
        <v>14</v>
      </c>
      <c r="B21" s="46" t="s">
        <v>95</v>
      </c>
      <c r="C21" s="47" t="s">
        <v>49</v>
      </c>
      <c r="D21" s="48" t="s">
        <v>96</v>
      </c>
      <c r="E21" s="49" t="s">
        <v>92</v>
      </c>
      <c r="F21" s="49" t="s">
        <v>97</v>
      </c>
      <c r="G21" s="50" t="n">
        <v>100</v>
      </c>
      <c r="H21" s="51" t="n">
        <v>1</v>
      </c>
      <c r="I21" s="49" t="s">
        <v>93</v>
      </c>
      <c r="J21" s="52" t="n">
        <f aca="false">G21*H21</f>
        <v>100</v>
      </c>
      <c r="K21" s="53" t="n">
        <f aca="false">J21*전체내역!$B$2</f>
        <v>155000</v>
      </c>
      <c r="L21" s="48" t="s">
        <v>98</v>
      </c>
      <c r="M21" s="68" t="s">
        <v>99</v>
      </c>
    </row>
    <row r="22" customFormat="false" ht="15" hidden="false" customHeight="false" outlineLevel="0" collapsed="false">
      <c r="A22" s="55" t="s">
        <v>14</v>
      </c>
      <c r="B22" s="57" t="s">
        <v>25</v>
      </c>
      <c r="C22" s="57" t="s">
        <v>52</v>
      </c>
      <c r="D22" s="58" t="s">
        <v>100</v>
      </c>
      <c r="E22" s="55" t="s">
        <v>101</v>
      </c>
      <c r="F22" s="59" t="s">
        <v>97</v>
      </c>
      <c r="G22" s="60" t="n">
        <v>0.015</v>
      </c>
      <c r="H22" s="61" t="n">
        <v>350</v>
      </c>
      <c r="I22" s="59" t="s">
        <v>102</v>
      </c>
      <c r="J22" s="62" t="n">
        <f aca="false">G22*H22</f>
        <v>5.25</v>
      </c>
      <c r="K22" s="63" t="n">
        <f aca="false">J22*전체내역!$B$2</f>
        <v>8137.5</v>
      </c>
      <c r="L22" s="67" t="s">
        <v>130</v>
      </c>
      <c r="M22" s="64" t="s">
        <v>131</v>
      </c>
    </row>
    <row r="23" customFormat="false" ht="15" hidden="false" customHeight="false" outlineLevel="0" collapsed="false">
      <c r="A23" s="45" t="s">
        <v>14</v>
      </c>
      <c r="B23" s="46" t="s">
        <v>26</v>
      </c>
      <c r="C23" s="47" t="s">
        <v>59</v>
      </c>
      <c r="D23" s="48" t="s">
        <v>132</v>
      </c>
      <c r="E23" s="45" t="s">
        <v>101</v>
      </c>
      <c r="F23" s="49" t="s">
        <v>97</v>
      </c>
      <c r="G23" s="50" t="n">
        <v>0.042</v>
      </c>
      <c r="H23" s="51" t="n">
        <v>120</v>
      </c>
      <c r="I23" s="49" t="s">
        <v>108</v>
      </c>
      <c r="J23" s="52" t="n">
        <f aca="false">G23*H23</f>
        <v>5.04</v>
      </c>
      <c r="K23" s="53" t="n">
        <f aca="false">J23*전체내역!$B$2</f>
        <v>7812</v>
      </c>
      <c r="L23" s="65" t="s">
        <v>133</v>
      </c>
      <c r="M23" s="54"/>
    </row>
    <row r="24" customFormat="false" ht="15" hidden="false" customHeight="false" outlineLevel="0" collapsed="false">
      <c r="A24" s="55" t="s">
        <v>14</v>
      </c>
      <c r="B24" s="56" t="s">
        <v>27</v>
      </c>
      <c r="C24" s="57" t="s">
        <v>64</v>
      </c>
      <c r="D24" s="58" t="s">
        <v>114</v>
      </c>
      <c r="E24" s="55" t="s">
        <v>101</v>
      </c>
      <c r="F24" s="59" t="s">
        <v>97</v>
      </c>
      <c r="G24" s="60" t="n">
        <v>0.11</v>
      </c>
      <c r="H24" s="61" t="n">
        <v>40</v>
      </c>
      <c r="I24" s="59" t="s">
        <v>115</v>
      </c>
      <c r="J24" s="62" t="n">
        <f aca="false">G24*H24</f>
        <v>4.4</v>
      </c>
      <c r="K24" s="63" t="n">
        <f aca="false">J24*전체내역!$B$2</f>
        <v>6820</v>
      </c>
      <c r="L24" s="67" t="s">
        <v>134</v>
      </c>
      <c r="M24" s="64" t="s">
        <v>117</v>
      </c>
    </row>
    <row r="25" customFormat="false" ht="15" hidden="false" customHeight="false" outlineLevel="0" collapsed="false">
      <c r="A25" s="45" t="s">
        <v>14</v>
      </c>
      <c r="B25" s="46" t="s">
        <v>27</v>
      </c>
      <c r="C25" s="47" t="s">
        <v>64</v>
      </c>
      <c r="D25" s="48" t="s">
        <v>118</v>
      </c>
      <c r="E25" s="45" t="s">
        <v>101</v>
      </c>
      <c r="F25" s="49" t="s">
        <v>97</v>
      </c>
      <c r="G25" s="50" t="n">
        <v>0.3034</v>
      </c>
      <c r="H25" s="51" t="n">
        <v>50</v>
      </c>
      <c r="I25" s="49" t="s">
        <v>115</v>
      </c>
      <c r="J25" s="52" t="n">
        <f aca="false">G25*H25</f>
        <v>15.17</v>
      </c>
      <c r="K25" s="53" t="n">
        <f aca="false">J25*전체내역!$B$2</f>
        <v>23513.5</v>
      </c>
      <c r="L25" s="65" t="s">
        <v>135</v>
      </c>
      <c r="M25" s="54" t="s">
        <v>120</v>
      </c>
    </row>
    <row r="26" customFormat="false" ht="15" hidden="false" customHeight="false" outlineLevel="0" collapsed="false">
      <c r="A26" s="55" t="s">
        <v>14</v>
      </c>
      <c r="B26" s="56" t="s">
        <v>27</v>
      </c>
      <c r="C26" s="57" t="s">
        <v>64</v>
      </c>
      <c r="D26" s="58" t="s">
        <v>121</v>
      </c>
      <c r="E26" s="55" t="s">
        <v>101</v>
      </c>
      <c r="F26" s="59" t="s">
        <v>97</v>
      </c>
      <c r="G26" s="60" t="n">
        <v>0.3034</v>
      </c>
      <c r="H26" s="61" t="n">
        <v>60</v>
      </c>
      <c r="I26" s="59" t="s">
        <v>115</v>
      </c>
      <c r="J26" s="62" t="n">
        <f aca="false">G26*H26</f>
        <v>18.204</v>
      </c>
      <c r="K26" s="63" t="n">
        <f aca="false">J26*전체내역!$B$2</f>
        <v>28216.2</v>
      </c>
      <c r="L26" s="67" t="s">
        <v>136</v>
      </c>
      <c r="M26" s="64" t="s">
        <v>123</v>
      </c>
    </row>
    <row r="27" customFormat="false" ht="15" hidden="false" customHeight="false" outlineLevel="0" collapsed="false">
      <c r="A27" s="45" t="s">
        <v>14</v>
      </c>
      <c r="B27" s="46" t="s">
        <v>27</v>
      </c>
      <c r="C27" s="47" t="s">
        <v>64</v>
      </c>
      <c r="D27" s="48" t="s">
        <v>124</v>
      </c>
      <c r="E27" s="45" t="s">
        <v>101</v>
      </c>
      <c r="F27" s="49" t="s">
        <v>97</v>
      </c>
      <c r="G27" s="50" t="n">
        <v>0.3034</v>
      </c>
      <c r="H27" s="51" t="n">
        <v>105</v>
      </c>
      <c r="I27" s="49" t="s">
        <v>115</v>
      </c>
      <c r="J27" s="52" t="n">
        <f aca="false">G27*H27</f>
        <v>31.857</v>
      </c>
      <c r="K27" s="53" t="n">
        <f aca="false">J27*전체내역!$B$2</f>
        <v>49378.35</v>
      </c>
      <c r="L27" s="65" t="s">
        <v>137</v>
      </c>
      <c r="M27" s="54" t="s">
        <v>126</v>
      </c>
    </row>
    <row r="28" customFormat="false" ht="15" hidden="false" customHeight="false" outlineLevel="0" collapsed="false">
      <c r="A28" s="55" t="s">
        <v>15</v>
      </c>
      <c r="B28" s="56" t="s">
        <v>23</v>
      </c>
      <c r="C28" s="57" t="s">
        <v>34</v>
      </c>
      <c r="D28" s="58" t="s">
        <v>34</v>
      </c>
      <c r="E28" s="59" t="s">
        <v>86</v>
      </c>
      <c r="F28" s="59" t="s">
        <v>87</v>
      </c>
      <c r="G28" s="60" t="n">
        <v>30</v>
      </c>
      <c r="H28" s="61" t="n">
        <v>4</v>
      </c>
      <c r="I28" s="59" t="s">
        <v>88</v>
      </c>
      <c r="J28" s="62" t="n">
        <f aca="false">G28*H28</f>
        <v>120</v>
      </c>
      <c r="K28" s="63" t="n">
        <f aca="false">J28*전체내역!$B$2</f>
        <v>186000</v>
      </c>
      <c r="L28" s="58" t="s">
        <v>127</v>
      </c>
      <c r="M28" s="66" t="s">
        <v>138</v>
      </c>
    </row>
    <row r="29" customFormat="false" ht="15" hidden="false" customHeight="false" outlineLevel="0" collapsed="false">
      <c r="A29" s="45" t="s">
        <v>15</v>
      </c>
      <c r="B29" s="46" t="s">
        <v>23</v>
      </c>
      <c r="C29" s="47" t="s">
        <v>38</v>
      </c>
      <c r="D29" s="48" t="s">
        <v>38</v>
      </c>
      <c r="E29" s="49" t="s">
        <v>86</v>
      </c>
      <c r="F29" s="49" t="s">
        <v>87</v>
      </c>
      <c r="G29" s="50" t="n">
        <v>20</v>
      </c>
      <c r="H29" s="51" t="n">
        <v>3</v>
      </c>
      <c r="I29" s="49" t="s">
        <v>88</v>
      </c>
      <c r="J29" s="52" t="n">
        <f aca="false">G29*H29</f>
        <v>60</v>
      </c>
      <c r="K29" s="53" t="n">
        <f aca="false">J29*전체내역!$B$2</f>
        <v>93000</v>
      </c>
      <c r="L29" s="48" t="s">
        <v>139</v>
      </c>
      <c r="M29" s="54"/>
    </row>
    <row r="30" customFormat="false" ht="15" hidden="false" customHeight="false" outlineLevel="0" collapsed="false">
      <c r="A30" s="55" t="s">
        <v>15</v>
      </c>
      <c r="B30" s="56" t="s">
        <v>23</v>
      </c>
      <c r="C30" s="57" t="s">
        <v>41</v>
      </c>
      <c r="D30" s="58" t="s">
        <v>41</v>
      </c>
      <c r="E30" s="59" t="s">
        <v>92</v>
      </c>
      <c r="F30" s="59" t="s">
        <v>87</v>
      </c>
      <c r="G30" s="60" t="n">
        <v>20</v>
      </c>
      <c r="H30" s="61" t="n">
        <v>1</v>
      </c>
      <c r="I30" s="59" t="s">
        <v>93</v>
      </c>
      <c r="J30" s="62" t="n">
        <f aca="false">G30*H30</f>
        <v>20</v>
      </c>
      <c r="K30" s="63" t="n">
        <f aca="false">J30*전체내역!$B$2</f>
        <v>31000</v>
      </c>
      <c r="L30" s="67" t="s">
        <v>140</v>
      </c>
      <c r="M30" s="64"/>
    </row>
    <row r="31" customFormat="false" ht="15" hidden="false" customHeight="false" outlineLevel="0" collapsed="false">
      <c r="A31" s="45" t="s">
        <v>15</v>
      </c>
      <c r="B31" s="46" t="s">
        <v>95</v>
      </c>
      <c r="C31" s="47" t="s">
        <v>49</v>
      </c>
      <c r="D31" s="48" t="s">
        <v>141</v>
      </c>
      <c r="E31" s="49" t="s">
        <v>92</v>
      </c>
      <c r="F31" s="49" t="s">
        <v>97</v>
      </c>
      <c r="G31" s="50" t="n">
        <v>18</v>
      </c>
      <c r="H31" s="51" t="n">
        <v>1</v>
      </c>
      <c r="I31" s="49" t="s">
        <v>93</v>
      </c>
      <c r="J31" s="52" t="n">
        <f aca="false">G31*H31</f>
        <v>18</v>
      </c>
      <c r="K31" s="53" t="n">
        <f aca="false">J31*전체내역!$B$2</f>
        <v>27900</v>
      </c>
      <c r="L31" s="65" t="s">
        <v>142</v>
      </c>
      <c r="M31" s="54"/>
    </row>
    <row r="32" customFormat="false" ht="15" hidden="false" customHeight="false" outlineLevel="0" collapsed="false">
      <c r="A32" s="55" t="s">
        <v>15</v>
      </c>
      <c r="B32" s="57" t="s">
        <v>25</v>
      </c>
      <c r="C32" s="57" t="s">
        <v>52</v>
      </c>
      <c r="D32" s="58" t="s">
        <v>143</v>
      </c>
      <c r="E32" s="55" t="s">
        <v>101</v>
      </c>
      <c r="F32" s="59" t="s">
        <v>97</v>
      </c>
      <c r="G32" s="60" t="n">
        <v>0.0255</v>
      </c>
      <c r="H32" s="61" t="n">
        <v>300</v>
      </c>
      <c r="I32" s="59" t="s">
        <v>102</v>
      </c>
      <c r="J32" s="62" t="n">
        <f aca="false">G32*H32</f>
        <v>7.65</v>
      </c>
      <c r="K32" s="63" t="n">
        <f aca="false">J32*전체내역!$B$2</f>
        <v>11857.5</v>
      </c>
      <c r="L32" s="67" t="s">
        <v>144</v>
      </c>
      <c r="M32" s="64" t="s">
        <v>145</v>
      </c>
    </row>
    <row r="33" customFormat="false" ht="15" hidden="false" customHeight="false" outlineLevel="0" collapsed="false">
      <c r="A33" s="45" t="s">
        <v>15</v>
      </c>
      <c r="B33" s="47" t="s">
        <v>25</v>
      </c>
      <c r="C33" s="47" t="s">
        <v>56</v>
      </c>
      <c r="D33" s="48" t="s">
        <v>146</v>
      </c>
      <c r="E33" s="45" t="s">
        <v>101</v>
      </c>
      <c r="F33" s="49" t="s">
        <v>97</v>
      </c>
      <c r="G33" s="50" t="n">
        <v>0.00875</v>
      </c>
      <c r="H33" s="51" t="n">
        <v>1500</v>
      </c>
      <c r="I33" s="49" t="s">
        <v>102</v>
      </c>
      <c r="J33" s="52" t="n">
        <f aca="false">G33*H33</f>
        <v>13.125</v>
      </c>
      <c r="K33" s="53" t="n">
        <f aca="false">J33*전체내역!$B$2</f>
        <v>20343.75</v>
      </c>
      <c r="L33" s="65" t="s">
        <v>147</v>
      </c>
      <c r="M33" s="54" t="s">
        <v>148</v>
      </c>
    </row>
    <row r="34" customFormat="false" ht="15" hidden="false" customHeight="false" outlineLevel="0" collapsed="false">
      <c r="A34" s="55" t="s">
        <v>15</v>
      </c>
      <c r="B34" s="56" t="s">
        <v>26</v>
      </c>
      <c r="C34" s="57" t="s">
        <v>62</v>
      </c>
      <c r="D34" s="58" t="s">
        <v>149</v>
      </c>
      <c r="E34" s="55" t="s">
        <v>101</v>
      </c>
      <c r="F34" s="59" t="s">
        <v>97</v>
      </c>
      <c r="G34" s="60" t="n">
        <v>0.039</v>
      </c>
      <c r="H34" s="61" t="n">
        <v>1500</v>
      </c>
      <c r="I34" s="59" t="s">
        <v>108</v>
      </c>
      <c r="J34" s="62" t="n">
        <f aca="false">G34*H34</f>
        <v>58.5</v>
      </c>
      <c r="K34" s="63" t="n">
        <f aca="false">J34*전체내역!$B$2</f>
        <v>90675</v>
      </c>
      <c r="L34" s="67" t="s">
        <v>26</v>
      </c>
      <c r="M34" s="64"/>
    </row>
    <row r="35" customFormat="false" ht="15" hidden="false" customHeight="false" outlineLevel="0" collapsed="false">
      <c r="A35" s="45" t="s">
        <v>16</v>
      </c>
      <c r="B35" s="46" t="s">
        <v>23</v>
      </c>
      <c r="C35" s="47" t="s">
        <v>34</v>
      </c>
      <c r="D35" s="48" t="s">
        <v>34</v>
      </c>
      <c r="E35" s="49" t="s">
        <v>86</v>
      </c>
      <c r="F35" s="49" t="s">
        <v>87</v>
      </c>
      <c r="G35" s="50" t="n">
        <v>30</v>
      </c>
      <c r="H35" s="51" t="n">
        <v>4</v>
      </c>
      <c r="I35" s="49" t="s">
        <v>88</v>
      </c>
      <c r="J35" s="52" t="n">
        <f aca="false">G35*H35</f>
        <v>120</v>
      </c>
      <c r="K35" s="53" t="n">
        <f aca="false">J35*전체내역!$B$2</f>
        <v>186000</v>
      </c>
      <c r="L35" s="48" t="s">
        <v>127</v>
      </c>
      <c r="M35" s="68" t="s">
        <v>138</v>
      </c>
    </row>
    <row r="36" customFormat="false" ht="15" hidden="false" customHeight="false" outlineLevel="0" collapsed="false">
      <c r="A36" s="55" t="s">
        <v>16</v>
      </c>
      <c r="B36" s="56" t="s">
        <v>23</v>
      </c>
      <c r="C36" s="57" t="s">
        <v>38</v>
      </c>
      <c r="D36" s="58" t="s">
        <v>38</v>
      </c>
      <c r="E36" s="59" t="s">
        <v>86</v>
      </c>
      <c r="F36" s="59" t="s">
        <v>87</v>
      </c>
      <c r="G36" s="60" t="n">
        <v>20</v>
      </c>
      <c r="H36" s="61" t="n">
        <v>3</v>
      </c>
      <c r="I36" s="59" t="s">
        <v>88</v>
      </c>
      <c r="J36" s="62" t="n">
        <f aca="false">G36*H36</f>
        <v>60</v>
      </c>
      <c r="K36" s="63" t="n">
        <f aca="false">J36*전체내역!$B$2</f>
        <v>93000</v>
      </c>
      <c r="L36" s="58" t="s">
        <v>139</v>
      </c>
      <c r="M36" s="64"/>
    </row>
    <row r="37" customFormat="false" ht="15" hidden="false" customHeight="false" outlineLevel="0" collapsed="false">
      <c r="A37" s="45" t="s">
        <v>16</v>
      </c>
      <c r="B37" s="46" t="s">
        <v>23</v>
      </c>
      <c r="C37" s="47" t="s">
        <v>41</v>
      </c>
      <c r="D37" s="48" t="s">
        <v>41</v>
      </c>
      <c r="E37" s="49" t="s">
        <v>92</v>
      </c>
      <c r="F37" s="49" t="s">
        <v>87</v>
      </c>
      <c r="G37" s="50" t="n">
        <v>20</v>
      </c>
      <c r="H37" s="51" t="n">
        <v>1</v>
      </c>
      <c r="I37" s="49" t="s">
        <v>93</v>
      </c>
      <c r="J37" s="52" t="n">
        <f aca="false">G37*H37</f>
        <v>20</v>
      </c>
      <c r="K37" s="53" t="n">
        <f aca="false">J37*전체내역!$B$2</f>
        <v>31000</v>
      </c>
      <c r="L37" s="65" t="s">
        <v>140</v>
      </c>
      <c r="M37" s="54"/>
    </row>
    <row r="38" customFormat="false" ht="15" hidden="false" customHeight="false" outlineLevel="0" collapsed="false">
      <c r="A38" s="55" t="s">
        <v>16</v>
      </c>
      <c r="B38" s="56" t="s">
        <v>95</v>
      </c>
      <c r="C38" s="57" t="s">
        <v>49</v>
      </c>
      <c r="D38" s="58" t="s">
        <v>141</v>
      </c>
      <c r="E38" s="59" t="s">
        <v>92</v>
      </c>
      <c r="F38" s="59" t="s">
        <v>97</v>
      </c>
      <c r="G38" s="60" t="n">
        <v>18</v>
      </c>
      <c r="H38" s="61" t="n">
        <v>1</v>
      </c>
      <c r="I38" s="59" t="s">
        <v>93</v>
      </c>
      <c r="J38" s="62" t="n">
        <f aca="false">G38*H38</f>
        <v>18</v>
      </c>
      <c r="K38" s="63" t="n">
        <f aca="false">J38*전체내역!$B$2</f>
        <v>27900</v>
      </c>
      <c r="L38" s="67" t="s">
        <v>142</v>
      </c>
      <c r="M38" s="64"/>
    </row>
    <row r="39" customFormat="false" ht="15" hidden="false" customHeight="false" outlineLevel="0" collapsed="false">
      <c r="A39" s="45" t="s">
        <v>16</v>
      </c>
      <c r="B39" s="47" t="s">
        <v>25</v>
      </c>
      <c r="C39" s="47" t="s">
        <v>52</v>
      </c>
      <c r="D39" s="48" t="s">
        <v>143</v>
      </c>
      <c r="E39" s="45" t="s">
        <v>101</v>
      </c>
      <c r="F39" s="49" t="s">
        <v>97</v>
      </c>
      <c r="G39" s="50" t="n">
        <v>0.0255</v>
      </c>
      <c r="H39" s="51" t="n">
        <v>300</v>
      </c>
      <c r="I39" s="49" t="s">
        <v>102</v>
      </c>
      <c r="J39" s="52" t="n">
        <f aca="false">G39*H39</f>
        <v>7.65</v>
      </c>
      <c r="K39" s="53" t="n">
        <f aca="false">J39*전체내역!$B$2</f>
        <v>11857.5</v>
      </c>
      <c r="L39" s="65" t="s">
        <v>144</v>
      </c>
      <c r="M39" s="54" t="s">
        <v>145</v>
      </c>
    </row>
    <row r="40" customFormat="false" ht="15" hidden="false" customHeight="false" outlineLevel="0" collapsed="false">
      <c r="A40" s="55" t="s">
        <v>16</v>
      </c>
      <c r="B40" s="57" t="s">
        <v>25</v>
      </c>
      <c r="C40" s="57" t="s">
        <v>56</v>
      </c>
      <c r="D40" s="58" t="s">
        <v>146</v>
      </c>
      <c r="E40" s="55" t="s">
        <v>101</v>
      </c>
      <c r="F40" s="59" t="s">
        <v>97</v>
      </c>
      <c r="G40" s="60" t="n">
        <v>0.00875</v>
      </c>
      <c r="H40" s="61" t="n">
        <v>1500</v>
      </c>
      <c r="I40" s="59" t="s">
        <v>102</v>
      </c>
      <c r="J40" s="62" t="n">
        <f aca="false">G40*H40</f>
        <v>13.125</v>
      </c>
      <c r="K40" s="63" t="n">
        <f aca="false">J40*전체내역!$B$2</f>
        <v>20343.75</v>
      </c>
      <c r="L40" s="67" t="s">
        <v>147</v>
      </c>
      <c r="M40" s="64" t="s">
        <v>148</v>
      </c>
    </row>
    <row r="41" customFormat="false" ht="15" hidden="false" customHeight="false" outlineLevel="0" collapsed="false">
      <c r="A41" s="45" t="s">
        <v>16</v>
      </c>
      <c r="B41" s="46" t="s">
        <v>26</v>
      </c>
      <c r="C41" s="47" t="s">
        <v>62</v>
      </c>
      <c r="D41" s="48" t="s">
        <v>149</v>
      </c>
      <c r="E41" s="45" t="s">
        <v>101</v>
      </c>
      <c r="F41" s="49" t="s">
        <v>97</v>
      </c>
      <c r="G41" s="50" t="n">
        <v>0.039</v>
      </c>
      <c r="H41" s="51" t="n">
        <v>1500</v>
      </c>
      <c r="I41" s="49" t="s">
        <v>108</v>
      </c>
      <c r="J41" s="52" t="n">
        <f aca="false">G41*H41</f>
        <v>58.5</v>
      </c>
      <c r="K41" s="53" t="n">
        <f aca="false">J41*전체내역!$B$2</f>
        <v>90675</v>
      </c>
      <c r="L41" s="65" t="s">
        <v>26</v>
      </c>
      <c r="M41" s="54"/>
    </row>
    <row r="42" customFormat="false" ht="15" hidden="false" customHeight="false" outlineLevel="0" collapsed="false">
      <c r="A42" s="55" t="s">
        <v>17</v>
      </c>
      <c r="B42" s="56" t="s">
        <v>23</v>
      </c>
      <c r="C42" s="57" t="s">
        <v>34</v>
      </c>
      <c r="D42" s="58" t="s">
        <v>34</v>
      </c>
      <c r="E42" s="59" t="s">
        <v>86</v>
      </c>
      <c r="F42" s="59" t="s">
        <v>87</v>
      </c>
      <c r="G42" s="60" t="n">
        <v>30</v>
      </c>
      <c r="H42" s="61" t="n">
        <v>4</v>
      </c>
      <c r="I42" s="59" t="s">
        <v>88</v>
      </c>
      <c r="J42" s="62" t="n">
        <f aca="false">G42*H42</f>
        <v>120</v>
      </c>
      <c r="K42" s="63" t="n">
        <f aca="false">J42*전체내역!$B$2</f>
        <v>186000</v>
      </c>
      <c r="L42" s="67" t="s">
        <v>150</v>
      </c>
      <c r="M42" s="64" t="s">
        <v>151</v>
      </c>
    </row>
    <row r="43" customFormat="false" ht="15" hidden="false" customHeight="false" outlineLevel="0" collapsed="false">
      <c r="A43" s="45" t="s">
        <v>17</v>
      </c>
      <c r="B43" s="46" t="s">
        <v>23</v>
      </c>
      <c r="C43" s="47" t="s">
        <v>38</v>
      </c>
      <c r="D43" s="48" t="s">
        <v>38</v>
      </c>
      <c r="E43" s="49" t="s">
        <v>86</v>
      </c>
      <c r="F43" s="49" t="s">
        <v>87</v>
      </c>
      <c r="G43" s="50" t="n">
        <v>20</v>
      </c>
      <c r="H43" s="51" t="n">
        <v>3</v>
      </c>
      <c r="I43" s="49" t="s">
        <v>88</v>
      </c>
      <c r="J43" s="52" t="n">
        <f aca="false">G43*H43</f>
        <v>60</v>
      </c>
      <c r="K43" s="53" t="n">
        <f aca="false">J43*전체내역!$B$2</f>
        <v>93000</v>
      </c>
      <c r="L43" s="48" t="s">
        <v>152</v>
      </c>
      <c r="M43" s="54" t="s">
        <v>153</v>
      </c>
    </row>
    <row r="44" customFormat="false" ht="15" hidden="false" customHeight="false" outlineLevel="0" collapsed="false">
      <c r="A44" s="55" t="s">
        <v>17</v>
      </c>
      <c r="B44" s="56" t="s">
        <v>23</v>
      </c>
      <c r="C44" s="57" t="s">
        <v>41</v>
      </c>
      <c r="D44" s="58" t="s">
        <v>41</v>
      </c>
      <c r="E44" s="59" t="s">
        <v>92</v>
      </c>
      <c r="F44" s="59" t="s">
        <v>87</v>
      </c>
      <c r="G44" s="60" t="n">
        <v>20</v>
      </c>
      <c r="H44" s="61" t="n">
        <v>1</v>
      </c>
      <c r="I44" s="59" t="s">
        <v>93</v>
      </c>
      <c r="J44" s="62" t="n">
        <f aca="false">G44*H44</f>
        <v>20</v>
      </c>
      <c r="K44" s="63" t="n">
        <f aca="false">J44*전체내역!$B$2</f>
        <v>31000</v>
      </c>
      <c r="L44" s="58" t="s">
        <v>154</v>
      </c>
      <c r="M44" s="64"/>
    </row>
    <row r="45" customFormat="false" ht="15" hidden="false" customHeight="false" outlineLevel="0" collapsed="false">
      <c r="A45" s="45" t="s">
        <v>17</v>
      </c>
      <c r="B45" s="46" t="s">
        <v>23</v>
      </c>
      <c r="C45" s="47" t="s">
        <v>45</v>
      </c>
      <c r="D45" s="48" t="s">
        <v>45</v>
      </c>
      <c r="E45" s="49" t="s">
        <v>155</v>
      </c>
      <c r="F45" s="49" t="s">
        <v>87</v>
      </c>
      <c r="G45" s="50" t="n">
        <v>6</v>
      </c>
      <c r="H45" s="51" t="n">
        <v>1</v>
      </c>
      <c r="I45" s="49" t="s">
        <v>93</v>
      </c>
      <c r="J45" s="52" t="n">
        <f aca="false">G45*H45</f>
        <v>6</v>
      </c>
      <c r="K45" s="53" t="n">
        <f aca="false">J45*전체내역!$B$2</f>
        <v>9300</v>
      </c>
      <c r="L45" s="65" t="s">
        <v>156</v>
      </c>
      <c r="M45" s="54"/>
    </row>
    <row r="46" customFormat="false" ht="15" hidden="false" customHeight="false" outlineLevel="0" collapsed="false">
      <c r="A46" s="55" t="s">
        <v>17</v>
      </c>
      <c r="B46" s="56" t="s">
        <v>95</v>
      </c>
      <c r="C46" s="57" t="s">
        <v>49</v>
      </c>
      <c r="D46" s="58" t="s">
        <v>157</v>
      </c>
      <c r="E46" s="59" t="s">
        <v>92</v>
      </c>
      <c r="F46" s="59" t="s">
        <v>97</v>
      </c>
      <c r="G46" s="60" t="n">
        <v>20</v>
      </c>
      <c r="H46" s="61" t="n">
        <v>1</v>
      </c>
      <c r="I46" s="59" t="s">
        <v>93</v>
      </c>
      <c r="J46" s="62" t="n">
        <f aca="false">G46*H46</f>
        <v>20</v>
      </c>
      <c r="K46" s="63" t="n">
        <f aca="false">J46*전체내역!$B$2</f>
        <v>31000</v>
      </c>
      <c r="L46" s="58" t="s">
        <v>158</v>
      </c>
      <c r="M46" s="64"/>
    </row>
    <row r="47" customFormat="false" ht="15" hidden="false" customHeight="false" outlineLevel="0" collapsed="false">
      <c r="A47" s="45" t="s">
        <v>17</v>
      </c>
      <c r="B47" s="47" t="s">
        <v>159</v>
      </c>
      <c r="C47" s="47" t="s">
        <v>67</v>
      </c>
      <c r="D47" s="48" t="s">
        <v>160</v>
      </c>
      <c r="E47" s="45" t="s">
        <v>101</v>
      </c>
      <c r="F47" s="49" t="s">
        <v>97</v>
      </c>
      <c r="G47" s="50" t="n">
        <v>0.03</v>
      </c>
      <c r="H47" s="51" t="n">
        <v>300</v>
      </c>
      <c r="I47" s="49" t="s">
        <v>102</v>
      </c>
      <c r="J47" s="52" t="n">
        <f aca="false">G47*H47</f>
        <v>9</v>
      </c>
      <c r="K47" s="53" t="n">
        <f aca="false">J47*전체내역!$B$2</f>
        <v>13950</v>
      </c>
      <c r="L47" s="48" t="s">
        <v>161</v>
      </c>
      <c r="M47" s="54" t="s">
        <v>162</v>
      </c>
    </row>
    <row r="48" customFormat="false" ht="15" hidden="false" customHeight="false" outlineLevel="0" collapsed="false">
      <c r="A48" s="55" t="s">
        <v>17</v>
      </c>
      <c r="B48" s="57" t="s">
        <v>159</v>
      </c>
      <c r="C48" s="57" t="s">
        <v>70</v>
      </c>
      <c r="D48" s="58" t="s">
        <v>70</v>
      </c>
      <c r="E48" s="55" t="s">
        <v>101</v>
      </c>
      <c r="F48" s="59" t="s">
        <v>97</v>
      </c>
      <c r="G48" s="60" t="n">
        <v>0.0175</v>
      </c>
      <c r="H48" s="61" t="n">
        <v>300</v>
      </c>
      <c r="I48" s="59" t="s">
        <v>102</v>
      </c>
      <c r="J48" s="62" t="n">
        <f aca="false">G48*H48</f>
        <v>5.25</v>
      </c>
      <c r="K48" s="63" t="n">
        <f aca="false">J48*전체내역!$B$2</f>
        <v>8137.5</v>
      </c>
      <c r="L48" s="67" t="s">
        <v>163</v>
      </c>
      <c r="M48" s="64" t="s">
        <v>164</v>
      </c>
    </row>
    <row r="49" customFormat="false" ht="15" hidden="false" customHeight="false" outlineLevel="0" collapsed="false">
      <c r="A49" s="22" t="s">
        <v>165</v>
      </c>
      <c r="B49" s="42"/>
      <c r="C49" s="42"/>
      <c r="D49" s="42"/>
      <c r="E49" s="42"/>
      <c r="F49" s="42"/>
      <c r="G49" s="42"/>
      <c r="H49" s="42"/>
      <c r="I49" s="42"/>
      <c r="J49" s="23" t="n">
        <f aca="false">SUM(J5:J48)</f>
        <v>1572.592</v>
      </c>
      <c r="K49" s="24" t="n">
        <f aca="false">SUM(K5:K48)</f>
        <v>2437517.6</v>
      </c>
      <c r="L49" s="42"/>
      <c r="M49" s="4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69" t="s">
        <v>166</v>
      </c>
    </row>
    <row r="2" customFormat="false" ht="15" hidden="false" customHeight="false" outlineLevel="0" collapsed="false">
      <c r="A2" s="70" t="s">
        <v>167</v>
      </c>
    </row>
    <row r="4" customFormat="false" ht="15" hidden="false" customHeight="false" outlineLevel="0" collapsed="false">
      <c r="A4" s="11" t="s">
        <v>168</v>
      </c>
      <c r="B4" s="11" t="s">
        <v>169</v>
      </c>
      <c r="C4" s="11" t="s">
        <v>80</v>
      </c>
      <c r="D4" s="11" t="s">
        <v>81</v>
      </c>
      <c r="E4" s="11" t="s">
        <v>170</v>
      </c>
      <c r="F4" s="11" t="s">
        <v>171</v>
      </c>
      <c r="G4" s="11" t="s">
        <v>77</v>
      </c>
      <c r="H4" s="11" t="s">
        <v>33</v>
      </c>
    </row>
    <row r="5" customFormat="false" ht="15" hidden="false" customHeight="false" outlineLevel="0" collapsed="false">
      <c r="A5" s="71" t="s">
        <v>172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48" t="s">
        <v>34</v>
      </c>
      <c r="B6" s="50" t="n">
        <v>30</v>
      </c>
      <c r="C6" s="51" t="n">
        <v>4</v>
      </c>
      <c r="D6" s="49" t="s">
        <v>88</v>
      </c>
      <c r="E6" s="52" t="n">
        <f aca="false">SUMIFS(전체내역!$J$5:$J$48,전체내역!$A$5:$A$48,"A1",전체내역!$D$5:$D$48,A6)</f>
        <v>120</v>
      </c>
      <c r="F6" s="53" t="n">
        <f aca="false">E6*전체내역!$B$2</f>
        <v>186000</v>
      </c>
      <c r="G6" s="72" t="s">
        <v>86</v>
      </c>
      <c r="H6" s="48" t="s">
        <v>89</v>
      </c>
    </row>
    <row r="7" customFormat="false" ht="15" hidden="false" customHeight="false" outlineLevel="0" collapsed="false">
      <c r="A7" s="58" t="s">
        <v>38</v>
      </c>
      <c r="B7" s="60" t="n">
        <v>20</v>
      </c>
      <c r="C7" s="61" t="n">
        <v>2</v>
      </c>
      <c r="D7" s="59" t="s">
        <v>88</v>
      </c>
      <c r="E7" s="62" t="n">
        <f aca="false">SUMIFS(전체내역!$J$5:$J$48,전체내역!$A$5:$A$48,"A1",전체내역!$D$5:$D$48,A7)</f>
        <v>40</v>
      </c>
      <c r="F7" s="63" t="n">
        <f aca="false">E7*전체내역!$B$2</f>
        <v>62000</v>
      </c>
      <c r="G7" s="73" t="s">
        <v>86</v>
      </c>
      <c r="H7" s="58" t="s">
        <v>91</v>
      </c>
    </row>
    <row r="8" customFormat="false" ht="15" hidden="false" customHeight="false" outlineLevel="0" collapsed="false">
      <c r="A8" s="48" t="s">
        <v>41</v>
      </c>
      <c r="B8" s="50" t="n">
        <v>20</v>
      </c>
      <c r="C8" s="51" t="n">
        <v>1</v>
      </c>
      <c r="D8" s="49" t="s">
        <v>93</v>
      </c>
      <c r="E8" s="52" t="n">
        <f aca="false">SUMIFS(전체내역!$J$5:$J$48,전체내역!$A$5:$A$48,"A1",전체내역!$D$5:$D$48,A8)</f>
        <v>20</v>
      </c>
      <c r="F8" s="53" t="n">
        <f aca="false">E8*전체내역!$B$2</f>
        <v>31000</v>
      </c>
      <c r="G8" s="72" t="s">
        <v>92</v>
      </c>
      <c r="H8" s="65" t="s">
        <v>94</v>
      </c>
    </row>
    <row r="9" customFormat="false" ht="15" hidden="false" customHeight="false" outlineLevel="0" collapsed="false">
      <c r="A9" s="74" t="s">
        <v>173</v>
      </c>
      <c r="B9" s="75"/>
      <c r="C9" s="75"/>
      <c r="D9" s="75"/>
      <c r="E9" s="76" t="n">
        <f aca="false">SUM(E6:E8)</f>
        <v>180</v>
      </c>
      <c r="F9" s="77" t="n">
        <f aca="false">SUM(F6:F8)</f>
        <v>279000</v>
      </c>
      <c r="G9" s="75"/>
      <c r="H9" s="75"/>
    </row>
    <row r="10" customFormat="false" ht="14.15" hidden="false" customHeight="false" outlineLevel="0" collapsed="false">
      <c r="A10" s="71" t="s">
        <v>174</v>
      </c>
      <c r="B10" s="71"/>
      <c r="C10" s="71"/>
      <c r="D10" s="71"/>
      <c r="E10" s="71"/>
      <c r="F10" s="71"/>
      <c r="G10" s="71"/>
      <c r="H10" s="71"/>
    </row>
    <row r="11" customFormat="false" ht="15" hidden="false" customHeight="false" outlineLevel="0" collapsed="false">
      <c r="A11" s="48" t="s">
        <v>96</v>
      </c>
      <c r="B11" s="50" t="n">
        <v>100</v>
      </c>
      <c r="C11" s="51" t="n">
        <v>1</v>
      </c>
      <c r="D11" s="49" t="s">
        <v>93</v>
      </c>
      <c r="E11" s="52" t="n">
        <f aca="false">SUMIFS(전체내역!$J$5:$J$48,전체내역!$A$5:$A$48,"A1",전체내역!$D$5:$D$48,A11)</f>
        <v>100</v>
      </c>
      <c r="F11" s="53" t="n">
        <f aca="false">E11*전체내역!$B$2</f>
        <v>155000</v>
      </c>
      <c r="G11" s="72" t="s">
        <v>92</v>
      </c>
      <c r="H11" s="48" t="s">
        <v>98</v>
      </c>
    </row>
    <row r="12" customFormat="false" ht="15" hidden="false" customHeight="false" outlineLevel="0" collapsed="false">
      <c r="A12" s="74" t="s">
        <v>175</v>
      </c>
      <c r="B12" s="75"/>
      <c r="C12" s="75"/>
      <c r="D12" s="75"/>
      <c r="E12" s="76" t="n">
        <f aca="false">SUM(E11:E11)</f>
        <v>100</v>
      </c>
      <c r="F12" s="77" t="n">
        <f aca="false">SUM(F11:F11)</f>
        <v>155000</v>
      </c>
      <c r="G12" s="75"/>
      <c r="H12" s="75"/>
    </row>
    <row r="13" customFormat="false" ht="15" hidden="false" customHeight="false" outlineLevel="0" collapsed="false">
      <c r="A13" s="78" t="s">
        <v>176</v>
      </c>
      <c r="B13" s="78"/>
      <c r="C13" s="78"/>
      <c r="D13" s="78"/>
      <c r="E13" s="78"/>
      <c r="F13" s="78"/>
      <c r="G13" s="78"/>
      <c r="H13" s="78"/>
    </row>
    <row r="14" customFormat="false" ht="15" hidden="false" customHeight="false" outlineLevel="0" collapsed="false">
      <c r="A14" s="48" t="s">
        <v>100</v>
      </c>
      <c r="B14" s="50" t="n">
        <v>0.015</v>
      </c>
      <c r="C14" s="51" t="n">
        <v>350</v>
      </c>
      <c r="D14" s="49" t="s">
        <v>102</v>
      </c>
      <c r="E14" s="52" t="n">
        <f aca="false">SUMIFS(전체내역!$J$5:$J$48,전체내역!$A$5:$A$48,"A1",전체내역!$D$5:$D$48,A14)</f>
        <v>5.25</v>
      </c>
      <c r="F14" s="53" t="n">
        <f aca="false">E14*전체내역!$B$2</f>
        <v>8137.5</v>
      </c>
      <c r="G14" s="79" t="s">
        <v>177</v>
      </c>
      <c r="H14" s="65" t="s">
        <v>103</v>
      </c>
    </row>
    <row r="15" customFormat="false" ht="15" hidden="false" customHeight="false" outlineLevel="0" collapsed="false">
      <c r="A15" s="58" t="s">
        <v>56</v>
      </c>
      <c r="B15" s="60" t="n">
        <v>0.0088</v>
      </c>
      <c r="C15" s="61" t="n">
        <v>350</v>
      </c>
      <c r="D15" s="59" t="s">
        <v>102</v>
      </c>
      <c r="E15" s="62" t="n">
        <f aca="false">SUMIFS(전체내역!$J$5:$J$48,전체내역!$A$5:$A$48,"A1",전체내역!$D$5:$D$48,A15)</f>
        <v>3.08</v>
      </c>
      <c r="F15" s="63" t="n">
        <f aca="false">E15*전체내역!$B$2</f>
        <v>4774</v>
      </c>
      <c r="G15" s="80" t="s">
        <v>177</v>
      </c>
      <c r="H15" s="67" t="s">
        <v>105</v>
      </c>
    </row>
    <row r="16" customFormat="false" ht="15" hidden="false" customHeight="false" outlineLevel="0" collapsed="false">
      <c r="A16" s="81" t="s">
        <v>178</v>
      </c>
      <c r="B16" s="75"/>
      <c r="C16" s="75"/>
      <c r="D16" s="75"/>
      <c r="E16" s="76" t="n">
        <f aca="false">SUM(E14:E15)</f>
        <v>8.33</v>
      </c>
      <c r="F16" s="77" t="n">
        <f aca="false">SUM(F14:F15)</f>
        <v>12911.5</v>
      </c>
      <c r="G16" s="75"/>
      <c r="H16" s="75"/>
    </row>
    <row r="17" customFormat="false" ht="15" hidden="false" customHeight="false" outlineLevel="0" collapsed="false">
      <c r="A17" s="71" t="s">
        <v>179</v>
      </c>
      <c r="B17" s="71"/>
      <c r="C17" s="71"/>
      <c r="D17" s="71"/>
      <c r="E17" s="71"/>
      <c r="F17" s="71"/>
      <c r="G17" s="71"/>
      <c r="H17" s="71"/>
    </row>
    <row r="18" customFormat="false" ht="15" hidden="false" customHeight="false" outlineLevel="0" collapsed="false">
      <c r="A18" s="48" t="s">
        <v>107</v>
      </c>
      <c r="B18" s="50" t="n">
        <v>0.006</v>
      </c>
      <c r="C18" s="51" t="n">
        <v>150</v>
      </c>
      <c r="D18" s="49" t="s">
        <v>108</v>
      </c>
      <c r="E18" s="52" t="n">
        <f aca="false">SUMIFS(전체내역!$J$5:$J$48,전체내역!$A$5:$A$48,"A1",전체내역!$D$5:$D$48,A18)</f>
        <v>0.9</v>
      </c>
      <c r="F18" s="53" t="n">
        <f aca="false">E18*전체내역!$B$2</f>
        <v>1395</v>
      </c>
      <c r="G18" s="79" t="s">
        <v>177</v>
      </c>
      <c r="H18" s="65" t="s">
        <v>109</v>
      </c>
    </row>
    <row r="19" customFormat="false" ht="15" hidden="false" customHeight="false" outlineLevel="0" collapsed="false">
      <c r="A19" s="58" t="s">
        <v>110</v>
      </c>
      <c r="B19" s="60" t="n">
        <v>0.053</v>
      </c>
      <c r="C19" s="61" t="n">
        <v>80</v>
      </c>
      <c r="D19" s="59" t="s">
        <v>108</v>
      </c>
      <c r="E19" s="62" t="n">
        <f aca="false">SUMIFS(전체내역!$J$5:$J$48,전체내역!$A$5:$A$48,"A1",전체내역!$D$5:$D$48,A19)</f>
        <v>4.24</v>
      </c>
      <c r="F19" s="63" t="n">
        <f aca="false">E19*전체내역!$B$2</f>
        <v>6572</v>
      </c>
      <c r="G19" s="80" t="s">
        <v>177</v>
      </c>
      <c r="H19" s="67" t="s">
        <v>111</v>
      </c>
    </row>
    <row r="20" customFormat="false" ht="15" hidden="false" customHeight="false" outlineLevel="0" collapsed="false">
      <c r="A20" s="48" t="s">
        <v>112</v>
      </c>
      <c r="B20" s="50" t="n">
        <v>0.211</v>
      </c>
      <c r="C20" s="51" t="n">
        <v>70</v>
      </c>
      <c r="D20" s="49" t="s">
        <v>108</v>
      </c>
      <c r="E20" s="52" t="n">
        <f aca="false">SUMIFS(전체내역!$J$5:$J$48,전체내역!$A$5:$A$48,"A1",전체내역!$D$5:$D$48,A20)</f>
        <v>14.77</v>
      </c>
      <c r="F20" s="53" t="n">
        <f aca="false">E20*전체내역!$B$2</f>
        <v>22893.5</v>
      </c>
      <c r="G20" s="79" t="s">
        <v>177</v>
      </c>
      <c r="H20" s="65" t="s">
        <v>113</v>
      </c>
    </row>
    <row r="21" customFormat="false" ht="15" hidden="false" customHeight="false" outlineLevel="0" collapsed="false">
      <c r="A21" s="74" t="s">
        <v>180</v>
      </c>
      <c r="B21" s="75"/>
      <c r="C21" s="75"/>
      <c r="D21" s="75"/>
      <c r="E21" s="76" t="n">
        <f aca="false">SUM(E18:E20)</f>
        <v>19.91</v>
      </c>
      <c r="F21" s="77" t="n">
        <f aca="false">SUM(F18:F20)</f>
        <v>30860.5</v>
      </c>
      <c r="G21" s="75"/>
      <c r="H21" s="75"/>
    </row>
    <row r="22" customFormat="false" ht="15" hidden="false" customHeight="false" outlineLevel="0" collapsed="false">
      <c r="A22" s="71" t="s">
        <v>181</v>
      </c>
      <c r="B22" s="71"/>
      <c r="C22" s="71"/>
      <c r="D22" s="71"/>
      <c r="E22" s="71"/>
      <c r="F22" s="71"/>
      <c r="G22" s="71"/>
      <c r="H22" s="71"/>
    </row>
    <row r="23" customFormat="false" ht="15" hidden="false" customHeight="false" outlineLevel="0" collapsed="false">
      <c r="A23" s="48" t="s">
        <v>114</v>
      </c>
      <c r="B23" s="50" t="n">
        <v>0.11</v>
      </c>
      <c r="C23" s="51" t="n">
        <v>40</v>
      </c>
      <c r="D23" s="49" t="s">
        <v>115</v>
      </c>
      <c r="E23" s="52" t="n">
        <f aca="false">SUMIFS(전체내역!$J$5:$J$48,전체내역!$A$5:$A$48,"A1",전체내역!$D$5:$D$48,A23)</f>
        <v>4.4</v>
      </c>
      <c r="F23" s="53" t="n">
        <f aca="false">E23*전체내역!$B$2</f>
        <v>6820</v>
      </c>
      <c r="G23" s="79" t="s">
        <v>177</v>
      </c>
      <c r="H23" s="65" t="s">
        <v>116</v>
      </c>
    </row>
    <row r="24" customFormat="false" ht="15" hidden="false" customHeight="false" outlineLevel="0" collapsed="false">
      <c r="A24" s="58" t="s">
        <v>118</v>
      </c>
      <c r="B24" s="60" t="n">
        <v>0.3034</v>
      </c>
      <c r="C24" s="61" t="n">
        <v>50</v>
      </c>
      <c r="D24" s="59" t="s">
        <v>115</v>
      </c>
      <c r="E24" s="62" t="n">
        <f aca="false">SUMIFS(전체내역!$J$5:$J$48,전체내역!$A$5:$A$48,"A1",전체내역!$D$5:$D$48,A24)</f>
        <v>15.17</v>
      </c>
      <c r="F24" s="63" t="n">
        <f aca="false">E24*전체내역!$B$2</f>
        <v>23513.5</v>
      </c>
      <c r="G24" s="80" t="s">
        <v>177</v>
      </c>
      <c r="H24" s="67" t="s">
        <v>119</v>
      </c>
    </row>
    <row r="25" customFormat="false" ht="15" hidden="false" customHeight="false" outlineLevel="0" collapsed="false">
      <c r="A25" s="48" t="s">
        <v>121</v>
      </c>
      <c r="B25" s="50" t="n">
        <v>0.3034</v>
      </c>
      <c r="C25" s="51" t="n">
        <v>60</v>
      </c>
      <c r="D25" s="49" t="s">
        <v>115</v>
      </c>
      <c r="E25" s="52" t="n">
        <f aca="false">SUMIFS(전체내역!$J$5:$J$48,전체내역!$A$5:$A$48,"A1",전체내역!$D$5:$D$48,A25)</f>
        <v>18.204</v>
      </c>
      <c r="F25" s="53" t="n">
        <f aca="false">E25*전체내역!$B$2</f>
        <v>28216.2</v>
      </c>
      <c r="G25" s="79" t="s">
        <v>177</v>
      </c>
      <c r="H25" s="65" t="s">
        <v>122</v>
      </c>
    </row>
    <row r="26" customFormat="false" ht="15" hidden="false" customHeight="false" outlineLevel="0" collapsed="false">
      <c r="A26" s="58" t="s">
        <v>124</v>
      </c>
      <c r="B26" s="60" t="n">
        <v>0.3034</v>
      </c>
      <c r="C26" s="61" t="n">
        <v>105</v>
      </c>
      <c r="D26" s="59" t="s">
        <v>115</v>
      </c>
      <c r="E26" s="62" t="n">
        <f aca="false">SUMIFS(전체내역!$J$5:$J$48,전체내역!$A$5:$A$48,"A1",전체내역!$D$5:$D$48,A26)</f>
        <v>31.857</v>
      </c>
      <c r="F26" s="63" t="n">
        <f aca="false">E26*전체내역!$B$2</f>
        <v>49378.35</v>
      </c>
      <c r="G26" s="80" t="s">
        <v>177</v>
      </c>
      <c r="H26" s="67" t="s">
        <v>125</v>
      </c>
    </row>
    <row r="27" customFormat="false" ht="15" hidden="false" customHeight="false" outlineLevel="0" collapsed="false">
      <c r="A27" s="74" t="s">
        <v>182</v>
      </c>
      <c r="B27" s="75"/>
      <c r="C27" s="75"/>
      <c r="D27" s="75"/>
      <c r="E27" s="76" t="n">
        <f aca="false">SUM(E23:E26)</f>
        <v>69.631</v>
      </c>
      <c r="F27" s="77" t="n">
        <f aca="false">SUM(F23:F26)</f>
        <v>107928.05</v>
      </c>
      <c r="G27" s="75"/>
      <c r="H27" s="75"/>
    </row>
    <row r="28" customFormat="false" ht="15" hidden="false" customHeight="false" outlineLevel="0" collapsed="false">
      <c r="A28" s="82" t="s">
        <v>183</v>
      </c>
      <c r="B28" s="83"/>
      <c r="C28" s="83"/>
      <c r="D28" s="83"/>
      <c r="E28" s="84" t="n">
        <f aca="false">SUMIF(전체내역!$A$5:$A$48,"A1",전체내역!$J$5:$J$48)</f>
        <v>377.871</v>
      </c>
      <c r="F28" s="85" t="n">
        <f aca="false">SUMIF(전체내역!$A$5:$A$48,"A1",전체내역!$K$5:$K$48)</f>
        <v>585700.05</v>
      </c>
      <c r="G28" s="83"/>
      <c r="H28" s="83"/>
    </row>
  </sheetData>
  <mergeCells count="5">
    <mergeCell ref="A5:H5"/>
    <mergeCell ref="A10:H10"/>
    <mergeCell ref="A13:H13"/>
    <mergeCell ref="A17:H17"/>
    <mergeCell ref="A22:H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69" t="s">
        <v>184</v>
      </c>
    </row>
    <row r="2" customFormat="false" ht="15" hidden="false" customHeight="false" outlineLevel="0" collapsed="false">
      <c r="A2" s="70" t="s">
        <v>167</v>
      </c>
    </row>
    <row r="4" customFormat="false" ht="15" hidden="false" customHeight="false" outlineLevel="0" collapsed="false">
      <c r="A4" s="11" t="s">
        <v>168</v>
      </c>
      <c r="B4" s="11" t="s">
        <v>169</v>
      </c>
      <c r="C4" s="11" t="s">
        <v>80</v>
      </c>
      <c r="D4" s="11" t="s">
        <v>81</v>
      </c>
      <c r="E4" s="11" t="s">
        <v>170</v>
      </c>
      <c r="F4" s="11" t="s">
        <v>171</v>
      </c>
      <c r="G4" s="11" t="s">
        <v>77</v>
      </c>
      <c r="H4" s="11" t="s">
        <v>33</v>
      </c>
    </row>
    <row r="5" customFormat="false" ht="15" hidden="false" customHeight="false" outlineLevel="0" collapsed="false">
      <c r="A5" s="71" t="s">
        <v>172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48" t="s">
        <v>34</v>
      </c>
      <c r="B6" s="50" t="n">
        <v>30</v>
      </c>
      <c r="C6" s="51" t="n">
        <v>4</v>
      </c>
      <c r="D6" s="49" t="s">
        <v>88</v>
      </c>
      <c r="E6" s="52" t="n">
        <f aca="false">SUMIFS(전체내역!$J$5:$J$48,전체내역!$A$5:$A$48,"A2",전체내역!$D$5:$D$48,A6)</f>
        <v>120</v>
      </c>
      <c r="F6" s="53" t="n">
        <f aca="false">E6*전체내역!$B$2</f>
        <v>186000</v>
      </c>
      <c r="G6" s="72" t="s">
        <v>86</v>
      </c>
      <c r="H6" s="48" t="s">
        <v>127</v>
      </c>
    </row>
    <row r="7" customFormat="false" ht="15" hidden="false" customHeight="false" outlineLevel="0" collapsed="false">
      <c r="A7" s="58" t="s">
        <v>38</v>
      </c>
      <c r="B7" s="60" t="n">
        <v>20</v>
      </c>
      <c r="C7" s="61" t="n">
        <v>2</v>
      </c>
      <c r="D7" s="59" t="s">
        <v>88</v>
      </c>
      <c r="E7" s="62" t="n">
        <f aca="false">SUMIFS(전체내역!$J$5:$J$48,전체내역!$A$5:$A$48,"A2",전체내역!$D$5:$D$48,A7)</f>
        <v>40</v>
      </c>
      <c r="F7" s="63" t="n">
        <f aca="false">E7*전체내역!$B$2</f>
        <v>62000</v>
      </c>
      <c r="G7" s="73" t="s">
        <v>86</v>
      </c>
      <c r="H7" s="58" t="s">
        <v>128</v>
      </c>
    </row>
    <row r="8" customFormat="false" ht="15" hidden="false" customHeight="false" outlineLevel="0" collapsed="false">
      <c r="A8" s="48" t="s">
        <v>41</v>
      </c>
      <c r="B8" s="50" t="n">
        <v>20</v>
      </c>
      <c r="C8" s="51" t="n">
        <v>1</v>
      </c>
      <c r="D8" s="49" t="s">
        <v>93</v>
      </c>
      <c r="E8" s="52" t="n">
        <f aca="false">SUMIFS(전체내역!$J$5:$J$48,전체내역!$A$5:$A$48,"A2",전체내역!$D$5:$D$48,A8)</f>
        <v>20</v>
      </c>
      <c r="F8" s="53" t="n">
        <f aca="false">E8*전체내역!$B$2</f>
        <v>31000</v>
      </c>
      <c r="G8" s="72" t="s">
        <v>92</v>
      </c>
      <c r="H8" s="65" t="s">
        <v>129</v>
      </c>
    </row>
    <row r="9" customFormat="false" ht="15" hidden="false" customHeight="false" outlineLevel="0" collapsed="false">
      <c r="A9" s="74" t="s">
        <v>173</v>
      </c>
      <c r="B9" s="75"/>
      <c r="C9" s="75"/>
      <c r="D9" s="75"/>
      <c r="E9" s="76" t="n">
        <f aca="false">SUM(E6:E8)</f>
        <v>180</v>
      </c>
      <c r="F9" s="77" t="n">
        <f aca="false">SUM(F6:F8)</f>
        <v>279000</v>
      </c>
      <c r="G9" s="75"/>
      <c r="H9" s="75"/>
    </row>
    <row r="10" customFormat="false" ht="14.15" hidden="false" customHeight="false" outlineLevel="0" collapsed="false">
      <c r="A10" s="71" t="s">
        <v>174</v>
      </c>
      <c r="B10" s="71"/>
      <c r="C10" s="71"/>
      <c r="D10" s="71"/>
      <c r="E10" s="71"/>
      <c r="F10" s="71"/>
      <c r="G10" s="71"/>
      <c r="H10" s="71"/>
    </row>
    <row r="11" customFormat="false" ht="15" hidden="false" customHeight="false" outlineLevel="0" collapsed="false">
      <c r="A11" s="48" t="s">
        <v>96</v>
      </c>
      <c r="B11" s="50" t="n">
        <v>100</v>
      </c>
      <c r="C11" s="51" t="n">
        <v>1</v>
      </c>
      <c r="D11" s="49" t="s">
        <v>93</v>
      </c>
      <c r="E11" s="52" t="n">
        <f aca="false">SUMIFS(전체내역!$J$5:$J$48,전체내역!$A$5:$A$48,"A2",전체내역!$D$5:$D$48,A11)</f>
        <v>100</v>
      </c>
      <c r="F11" s="53" t="n">
        <f aca="false">E11*전체내역!$B$2</f>
        <v>155000</v>
      </c>
      <c r="G11" s="72" t="s">
        <v>92</v>
      </c>
      <c r="H11" s="48" t="s">
        <v>98</v>
      </c>
    </row>
    <row r="12" customFormat="false" ht="15" hidden="false" customHeight="false" outlineLevel="0" collapsed="false">
      <c r="A12" s="74" t="s">
        <v>175</v>
      </c>
      <c r="B12" s="75"/>
      <c r="C12" s="75"/>
      <c r="D12" s="75"/>
      <c r="E12" s="76" t="n">
        <f aca="false">SUM(E11:E11)</f>
        <v>100</v>
      </c>
      <c r="F12" s="77" t="n">
        <f aca="false">SUM(F11:F11)</f>
        <v>155000</v>
      </c>
      <c r="G12" s="75"/>
      <c r="H12" s="75"/>
    </row>
    <row r="13" customFormat="false" ht="15" hidden="false" customHeight="false" outlineLevel="0" collapsed="false">
      <c r="A13" s="78" t="s">
        <v>176</v>
      </c>
      <c r="B13" s="78"/>
      <c r="C13" s="78"/>
      <c r="D13" s="78"/>
      <c r="E13" s="78"/>
      <c r="F13" s="78"/>
      <c r="G13" s="78"/>
      <c r="H13" s="78"/>
    </row>
    <row r="14" customFormat="false" ht="15" hidden="false" customHeight="false" outlineLevel="0" collapsed="false">
      <c r="A14" s="48" t="s">
        <v>100</v>
      </c>
      <c r="B14" s="50" t="n">
        <v>0.015</v>
      </c>
      <c r="C14" s="51" t="n">
        <v>350</v>
      </c>
      <c r="D14" s="49" t="s">
        <v>102</v>
      </c>
      <c r="E14" s="52" t="n">
        <f aca="false">SUMIFS(전체내역!$J$5:$J$48,전체내역!$A$5:$A$48,"A2",전체내역!$D$5:$D$48,A14)</f>
        <v>5.25</v>
      </c>
      <c r="F14" s="53" t="n">
        <f aca="false">E14*전체내역!$B$2</f>
        <v>8137.5</v>
      </c>
      <c r="G14" s="79" t="s">
        <v>177</v>
      </c>
      <c r="H14" s="65" t="s">
        <v>130</v>
      </c>
    </row>
    <row r="15" customFormat="false" ht="15" hidden="false" customHeight="false" outlineLevel="0" collapsed="false">
      <c r="A15" s="81" t="s">
        <v>178</v>
      </c>
      <c r="B15" s="75"/>
      <c r="C15" s="75"/>
      <c r="D15" s="75"/>
      <c r="E15" s="76" t="n">
        <f aca="false">SUM(E14:E14)</f>
        <v>5.25</v>
      </c>
      <c r="F15" s="77" t="n">
        <f aca="false">SUM(F14:F14)</f>
        <v>8137.5</v>
      </c>
      <c r="G15" s="75"/>
      <c r="H15" s="75"/>
    </row>
    <row r="16" customFormat="false" ht="15" hidden="false" customHeight="false" outlineLevel="0" collapsed="false">
      <c r="A16" s="71" t="s">
        <v>179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48" t="s">
        <v>132</v>
      </c>
      <c r="B17" s="50" t="n">
        <v>0.042</v>
      </c>
      <c r="C17" s="51" t="n">
        <v>120</v>
      </c>
      <c r="D17" s="49" t="s">
        <v>108</v>
      </c>
      <c r="E17" s="52" t="n">
        <f aca="false">SUMIFS(전체내역!$J$5:$J$48,전체내역!$A$5:$A$48,"A2",전체내역!$D$5:$D$48,A17)</f>
        <v>5.04</v>
      </c>
      <c r="F17" s="53" t="n">
        <f aca="false">E17*전체내역!$B$2</f>
        <v>7812</v>
      </c>
      <c r="G17" s="79" t="s">
        <v>177</v>
      </c>
      <c r="H17" s="65" t="s">
        <v>133</v>
      </c>
    </row>
    <row r="18" customFormat="false" ht="15" hidden="false" customHeight="false" outlineLevel="0" collapsed="false">
      <c r="A18" s="74" t="s">
        <v>180</v>
      </c>
      <c r="B18" s="75"/>
      <c r="C18" s="75"/>
      <c r="D18" s="75"/>
      <c r="E18" s="76" t="n">
        <f aca="false">SUM(E17:E17)</f>
        <v>5.04</v>
      </c>
      <c r="F18" s="77" t="n">
        <f aca="false">SUM(F17:F17)</f>
        <v>7812</v>
      </c>
      <c r="G18" s="75"/>
      <c r="H18" s="75"/>
    </row>
    <row r="19" customFormat="false" ht="15" hidden="false" customHeight="false" outlineLevel="0" collapsed="false">
      <c r="A19" s="71" t="s">
        <v>181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48" t="s">
        <v>114</v>
      </c>
      <c r="B20" s="50" t="n">
        <v>0.11</v>
      </c>
      <c r="C20" s="51" t="n">
        <v>40</v>
      </c>
      <c r="D20" s="49" t="s">
        <v>115</v>
      </c>
      <c r="E20" s="52" t="n">
        <f aca="false">SUMIFS(전체내역!$J$5:$J$48,전체내역!$A$5:$A$48,"A2",전체내역!$D$5:$D$48,A20)</f>
        <v>4.4</v>
      </c>
      <c r="F20" s="53" t="n">
        <f aca="false">E20*전체내역!$B$2</f>
        <v>6820</v>
      </c>
      <c r="G20" s="79" t="s">
        <v>177</v>
      </c>
      <c r="H20" s="65" t="s">
        <v>134</v>
      </c>
    </row>
    <row r="21" customFormat="false" ht="15" hidden="false" customHeight="false" outlineLevel="0" collapsed="false">
      <c r="A21" s="58" t="s">
        <v>118</v>
      </c>
      <c r="B21" s="60" t="n">
        <v>0.3034</v>
      </c>
      <c r="C21" s="61" t="n">
        <v>50</v>
      </c>
      <c r="D21" s="59" t="s">
        <v>115</v>
      </c>
      <c r="E21" s="62" t="n">
        <f aca="false">SUMIFS(전체내역!$J$5:$J$48,전체내역!$A$5:$A$48,"A2",전체내역!$D$5:$D$48,A21)</f>
        <v>15.17</v>
      </c>
      <c r="F21" s="63" t="n">
        <f aca="false">E21*전체내역!$B$2</f>
        <v>23513.5</v>
      </c>
      <c r="G21" s="80" t="s">
        <v>177</v>
      </c>
      <c r="H21" s="67" t="s">
        <v>135</v>
      </c>
    </row>
    <row r="22" customFormat="false" ht="15" hidden="false" customHeight="false" outlineLevel="0" collapsed="false">
      <c r="A22" s="48" t="s">
        <v>121</v>
      </c>
      <c r="B22" s="50" t="n">
        <v>0.3034</v>
      </c>
      <c r="C22" s="51" t="n">
        <v>60</v>
      </c>
      <c r="D22" s="49" t="s">
        <v>115</v>
      </c>
      <c r="E22" s="52" t="n">
        <f aca="false">SUMIFS(전체내역!$J$5:$J$48,전체내역!$A$5:$A$48,"A2",전체내역!$D$5:$D$48,A22)</f>
        <v>18.204</v>
      </c>
      <c r="F22" s="53" t="n">
        <f aca="false">E22*전체내역!$B$2</f>
        <v>28216.2</v>
      </c>
      <c r="G22" s="79" t="s">
        <v>177</v>
      </c>
      <c r="H22" s="65" t="s">
        <v>136</v>
      </c>
    </row>
    <row r="23" customFormat="false" ht="15" hidden="false" customHeight="false" outlineLevel="0" collapsed="false">
      <c r="A23" s="58" t="s">
        <v>124</v>
      </c>
      <c r="B23" s="60" t="n">
        <v>0.3034</v>
      </c>
      <c r="C23" s="61" t="n">
        <v>105</v>
      </c>
      <c r="D23" s="59" t="s">
        <v>115</v>
      </c>
      <c r="E23" s="62" t="n">
        <f aca="false">SUMIFS(전체내역!$J$5:$J$48,전체내역!$A$5:$A$48,"A2",전체내역!$D$5:$D$48,A23)</f>
        <v>31.857</v>
      </c>
      <c r="F23" s="63" t="n">
        <f aca="false">E23*전체내역!$B$2</f>
        <v>49378.35</v>
      </c>
      <c r="G23" s="80" t="s">
        <v>177</v>
      </c>
      <c r="H23" s="67" t="s">
        <v>137</v>
      </c>
    </row>
    <row r="24" customFormat="false" ht="15" hidden="false" customHeight="false" outlineLevel="0" collapsed="false">
      <c r="A24" s="74" t="s">
        <v>182</v>
      </c>
      <c r="B24" s="75"/>
      <c r="C24" s="75"/>
      <c r="D24" s="75"/>
      <c r="E24" s="76" t="n">
        <f aca="false">SUM(E20:E23)</f>
        <v>69.631</v>
      </c>
      <c r="F24" s="77" t="n">
        <f aca="false">SUM(F20:F23)</f>
        <v>107928.05</v>
      </c>
      <c r="G24" s="75"/>
      <c r="H24" s="75"/>
    </row>
    <row r="25" customFormat="false" ht="15" hidden="false" customHeight="false" outlineLevel="0" collapsed="false">
      <c r="A25" s="82" t="s">
        <v>183</v>
      </c>
      <c r="B25" s="83"/>
      <c r="C25" s="83"/>
      <c r="D25" s="83"/>
      <c r="E25" s="84" t="n">
        <f aca="false">SUMIF(전체내역!$A$5:$A$48,"A2",전체내역!$J$5:$J$48)</f>
        <v>359.921</v>
      </c>
      <c r="F25" s="85" t="n">
        <f aca="false">SUMIF(전체내역!$A$5:$A$48,"A2",전체내역!$K$5:$K$48)</f>
        <v>557877.55</v>
      </c>
      <c r="G25" s="83"/>
      <c r="H25" s="83"/>
    </row>
  </sheetData>
  <mergeCells count="5">
    <mergeCell ref="A5:H5"/>
    <mergeCell ref="A10:H10"/>
    <mergeCell ref="A13:H13"/>
    <mergeCell ref="A16:H16"/>
    <mergeCell ref="A19:H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69" t="s">
        <v>185</v>
      </c>
    </row>
    <row r="2" customFormat="false" ht="15" hidden="false" customHeight="false" outlineLevel="0" collapsed="false">
      <c r="A2" s="70" t="s">
        <v>167</v>
      </c>
    </row>
    <row r="4" customFormat="false" ht="15" hidden="false" customHeight="false" outlineLevel="0" collapsed="false">
      <c r="A4" s="11" t="s">
        <v>168</v>
      </c>
      <c r="B4" s="11" t="s">
        <v>169</v>
      </c>
      <c r="C4" s="11" t="s">
        <v>80</v>
      </c>
      <c r="D4" s="11" t="s">
        <v>81</v>
      </c>
      <c r="E4" s="11" t="s">
        <v>170</v>
      </c>
      <c r="F4" s="11" t="s">
        <v>171</v>
      </c>
      <c r="G4" s="11" t="s">
        <v>77</v>
      </c>
      <c r="H4" s="11" t="s">
        <v>33</v>
      </c>
    </row>
    <row r="5" customFormat="false" ht="15" hidden="false" customHeight="false" outlineLevel="0" collapsed="false">
      <c r="A5" s="71" t="s">
        <v>172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48" t="s">
        <v>34</v>
      </c>
      <c r="B6" s="50" t="n">
        <v>30</v>
      </c>
      <c r="C6" s="51" t="n">
        <v>4</v>
      </c>
      <c r="D6" s="49" t="s">
        <v>88</v>
      </c>
      <c r="E6" s="52" t="n">
        <f aca="false">SUMIFS(전체내역!$J$5:$J$48,전체내역!$A$5:$A$48,"B1",전체내역!$D$5:$D$48,A6)</f>
        <v>120</v>
      </c>
      <c r="F6" s="53" t="n">
        <f aca="false">E6*전체내역!$B$2</f>
        <v>186000</v>
      </c>
      <c r="G6" s="72" t="s">
        <v>86</v>
      </c>
      <c r="H6" s="48" t="s">
        <v>127</v>
      </c>
    </row>
    <row r="7" customFormat="false" ht="15" hidden="false" customHeight="false" outlineLevel="0" collapsed="false">
      <c r="A7" s="58" t="s">
        <v>38</v>
      </c>
      <c r="B7" s="60" t="n">
        <v>20</v>
      </c>
      <c r="C7" s="61" t="n">
        <v>3</v>
      </c>
      <c r="D7" s="59" t="s">
        <v>88</v>
      </c>
      <c r="E7" s="62" t="n">
        <f aca="false">SUMIFS(전체내역!$J$5:$J$48,전체내역!$A$5:$A$48,"B1",전체내역!$D$5:$D$48,A7)</f>
        <v>60</v>
      </c>
      <c r="F7" s="63" t="n">
        <f aca="false">E7*전체내역!$B$2</f>
        <v>93000</v>
      </c>
      <c r="G7" s="73" t="s">
        <v>86</v>
      </c>
      <c r="H7" s="58" t="s">
        <v>139</v>
      </c>
    </row>
    <row r="8" customFormat="false" ht="15" hidden="false" customHeight="false" outlineLevel="0" collapsed="false">
      <c r="A8" s="48" t="s">
        <v>41</v>
      </c>
      <c r="B8" s="50" t="n">
        <v>20</v>
      </c>
      <c r="C8" s="51" t="n">
        <v>1</v>
      </c>
      <c r="D8" s="49" t="s">
        <v>93</v>
      </c>
      <c r="E8" s="52" t="n">
        <f aca="false">SUMIFS(전체내역!$J$5:$J$48,전체내역!$A$5:$A$48,"B1",전체내역!$D$5:$D$48,A8)</f>
        <v>20</v>
      </c>
      <c r="F8" s="53" t="n">
        <f aca="false">E8*전체내역!$B$2</f>
        <v>31000</v>
      </c>
      <c r="G8" s="72" t="s">
        <v>92</v>
      </c>
      <c r="H8" s="65" t="s">
        <v>140</v>
      </c>
    </row>
    <row r="9" customFormat="false" ht="15" hidden="false" customHeight="false" outlineLevel="0" collapsed="false">
      <c r="A9" s="74" t="s">
        <v>173</v>
      </c>
      <c r="B9" s="75"/>
      <c r="C9" s="75"/>
      <c r="D9" s="75"/>
      <c r="E9" s="76" t="n">
        <f aca="false">SUM(E6:E8)</f>
        <v>200</v>
      </c>
      <c r="F9" s="77" t="n">
        <f aca="false">SUM(F6:F8)</f>
        <v>310000</v>
      </c>
      <c r="G9" s="75"/>
      <c r="H9" s="75"/>
    </row>
    <row r="10" customFormat="false" ht="14.15" hidden="false" customHeight="false" outlineLevel="0" collapsed="false">
      <c r="A10" s="71" t="s">
        <v>174</v>
      </c>
      <c r="B10" s="71"/>
      <c r="C10" s="71"/>
      <c r="D10" s="71"/>
      <c r="E10" s="71"/>
      <c r="F10" s="71"/>
      <c r="G10" s="71"/>
      <c r="H10" s="71"/>
    </row>
    <row r="11" customFormat="false" ht="15" hidden="false" customHeight="false" outlineLevel="0" collapsed="false">
      <c r="A11" s="48" t="s">
        <v>141</v>
      </c>
      <c r="B11" s="50" t="n">
        <v>18</v>
      </c>
      <c r="C11" s="51" t="n">
        <v>1</v>
      </c>
      <c r="D11" s="49" t="s">
        <v>93</v>
      </c>
      <c r="E11" s="52" t="n">
        <f aca="false">SUMIFS(전체내역!$J$5:$J$48,전체내역!$A$5:$A$48,"B1",전체내역!$D$5:$D$48,A11)</f>
        <v>18</v>
      </c>
      <c r="F11" s="53" t="n">
        <f aca="false">E11*전체내역!$B$2</f>
        <v>27900</v>
      </c>
      <c r="G11" s="72" t="s">
        <v>92</v>
      </c>
      <c r="H11" s="65" t="s">
        <v>142</v>
      </c>
    </row>
    <row r="12" customFormat="false" ht="15" hidden="false" customHeight="false" outlineLevel="0" collapsed="false">
      <c r="A12" s="74" t="s">
        <v>175</v>
      </c>
      <c r="B12" s="75"/>
      <c r="C12" s="75"/>
      <c r="D12" s="75"/>
      <c r="E12" s="76" t="n">
        <f aca="false">SUM(E11:E11)</f>
        <v>18</v>
      </c>
      <c r="F12" s="77" t="n">
        <f aca="false">SUM(F11:F11)</f>
        <v>27900</v>
      </c>
      <c r="G12" s="75"/>
      <c r="H12" s="75"/>
    </row>
    <row r="13" customFormat="false" ht="15" hidden="false" customHeight="false" outlineLevel="0" collapsed="false">
      <c r="A13" s="78" t="s">
        <v>176</v>
      </c>
      <c r="B13" s="78"/>
      <c r="C13" s="78"/>
      <c r="D13" s="78"/>
      <c r="E13" s="78"/>
      <c r="F13" s="78"/>
      <c r="G13" s="78"/>
      <c r="H13" s="78"/>
    </row>
    <row r="14" customFormat="false" ht="15" hidden="false" customHeight="false" outlineLevel="0" collapsed="false">
      <c r="A14" s="48" t="s">
        <v>143</v>
      </c>
      <c r="B14" s="50" t="n">
        <v>0.0255</v>
      </c>
      <c r="C14" s="51" t="n">
        <v>300</v>
      </c>
      <c r="D14" s="49" t="s">
        <v>102</v>
      </c>
      <c r="E14" s="52" t="n">
        <f aca="false">SUMIFS(전체내역!$J$5:$J$48,전체내역!$A$5:$A$48,"B1",전체내역!$D$5:$D$48,A14)</f>
        <v>7.65</v>
      </c>
      <c r="F14" s="53" t="n">
        <f aca="false">E14*전체내역!$B$2</f>
        <v>11857.5</v>
      </c>
      <c r="G14" s="79" t="s">
        <v>177</v>
      </c>
      <c r="H14" s="65" t="s">
        <v>144</v>
      </c>
    </row>
    <row r="15" customFormat="false" ht="15" hidden="false" customHeight="false" outlineLevel="0" collapsed="false">
      <c r="A15" s="58" t="s">
        <v>146</v>
      </c>
      <c r="B15" s="60" t="n">
        <v>0.00875</v>
      </c>
      <c r="C15" s="61" t="n">
        <v>1500</v>
      </c>
      <c r="D15" s="59" t="s">
        <v>102</v>
      </c>
      <c r="E15" s="62" t="n">
        <f aca="false">SUMIFS(전체내역!$J$5:$J$48,전체내역!$A$5:$A$48,"B1",전체내역!$D$5:$D$48,A15)</f>
        <v>13.125</v>
      </c>
      <c r="F15" s="63" t="n">
        <f aca="false">E15*전체내역!$B$2</f>
        <v>20343.75</v>
      </c>
      <c r="G15" s="80" t="s">
        <v>177</v>
      </c>
      <c r="H15" s="67" t="s">
        <v>147</v>
      </c>
    </row>
    <row r="16" customFormat="false" ht="15" hidden="false" customHeight="false" outlineLevel="0" collapsed="false">
      <c r="A16" s="81" t="s">
        <v>178</v>
      </c>
      <c r="B16" s="75"/>
      <c r="C16" s="75"/>
      <c r="D16" s="75"/>
      <c r="E16" s="76" t="n">
        <f aca="false">SUM(E14:E15)</f>
        <v>20.775</v>
      </c>
      <c r="F16" s="77" t="n">
        <f aca="false">SUM(F14:F15)</f>
        <v>32201.25</v>
      </c>
      <c r="G16" s="75"/>
      <c r="H16" s="75"/>
    </row>
    <row r="17" customFormat="false" ht="15" hidden="false" customHeight="false" outlineLevel="0" collapsed="false">
      <c r="A17" s="71" t="s">
        <v>179</v>
      </c>
      <c r="B17" s="71"/>
      <c r="C17" s="71"/>
      <c r="D17" s="71"/>
      <c r="E17" s="71"/>
      <c r="F17" s="71"/>
      <c r="G17" s="71"/>
      <c r="H17" s="71"/>
    </row>
    <row r="18" customFormat="false" ht="15" hidden="false" customHeight="false" outlineLevel="0" collapsed="false">
      <c r="A18" s="48" t="s">
        <v>149</v>
      </c>
      <c r="B18" s="50" t="n">
        <v>0.039</v>
      </c>
      <c r="C18" s="51" t="n">
        <v>1500</v>
      </c>
      <c r="D18" s="49" t="s">
        <v>108</v>
      </c>
      <c r="E18" s="52" t="n">
        <f aca="false">SUMIFS(전체내역!$J$5:$J$48,전체내역!$A$5:$A$48,"B1",전체내역!$D$5:$D$48,A18)</f>
        <v>58.5</v>
      </c>
      <c r="F18" s="53" t="n">
        <f aca="false">E18*전체내역!$B$2</f>
        <v>90675</v>
      </c>
      <c r="G18" s="79" t="s">
        <v>177</v>
      </c>
      <c r="H18" s="65" t="s">
        <v>26</v>
      </c>
    </row>
    <row r="19" customFormat="false" ht="15" hidden="false" customHeight="false" outlineLevel="0" collapsed="false">
      <c r="A19" s="74" t="s">
        <v>180</v>
      </c>
      <c r="B19" s="75"/>
      <c r="C19" s="75"/>
      <c r="D19" s="75"/>
      <c r="E19" s="76" t="n">
        <f aca="false">SUM(E18:E18)</f>
        <v>58.5</v>
      </c>
      <c r="F19" s="77" t="n">
        <f aca="false">SUM(F18:F18)</f>
        <v>90675</v>
      </c>
      <c r="G19" s="75"/>
      <c r="H19" s="75"/>
    </row>
    <row r="20" customFormat="false" ht="15" hidden="false" customHeight="false" outlineLevel="0" collapsed="false">
      <c r="A20" s="82" t="s">
        <v>183</v>
      </c>
      <c r="B20" s="83"/>
      <c r="C20" s="83"/>
      <c r="D20" s="83"/>
      <c r="E20" s="84" t="n">
        <f aca="false">SUMIF(전체내역!$A$5:$A$48,"B1",전체내역!$J$5:$J$48)</f>
        <v>297.275</v>
      </c>
      <c r="F20" s="85" t="n">
        <f aca="false">SUMIF(전체내역!$A$5:$A$48,"B1",전체내역!$K$5:$K$48)</f>
        <v>460776.25</v>
      </c>
      <c r="G20" s="83"/>
      <c r="H20" s="83"/>
    </row>
  </sheetData>
  <mergeCells count="4">
    <mergeCell ref="A5:H5"/>
    <mergeCell ref="A10:H10"/>
    <mergeCell ref="A13:H13"/>
    <mergeCell ref="A17:H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69" t="s">
        <v>186</v>
      </c>
    </row>
    <row r="2" customFormat="false" ht="15" hidden="false" customHeight="false" outlineLevel="0" collapsed="false">
      <c r="A2" s="70" t="s">
        <v>167</v>
      </c>
    </row>
    <row r="4" customFormat="false" ht="15" hidden="false" customHeight="false" outlineLevel="0" collapsed="false">
      <c r="A4" s="11" t="s">
        <v>168</v>
      </c>
      <c r="B4" s="11" t="s">
        <v>169</v>
      </c>
      <c r="C4" s="11" t="s">
        <v>80</v>
      </c>
      <c r="D4" s="11" t="s">
        <v>81</v>
      </c>
      <c r="E4" s="11" t="s">
        <v>170</v>
      </c>
      <c r="F4" s="11" t="s">
        <v>171</v>
      </c>
      <c r="G4" s="11" t="s">
        <v>77</v>
      </c>
      <c r="H4" s="11" t="s">
        <v>33</v>
      </c>
    </row>
    <row r="5" customFormat="false" ht="15" hidden="false" customHeight="false" outlineLevel="0" collapsed="false">
      <c r="A5" s="71" t="s">
        <v>172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48" t="s">
        <v>34</v>
      </c>
      <c r="B6" s="50" t="n">
        <v>30</v>
      </c>
      <c r="C6" s="51" t="n">
        <v>4</v>
      </c>
      <c r="D6" s="49" t="s">
        <v>88</v>
      </c>
      <c r="E6" s="52" t="n">
        <f aca="false">SUMIFS(전체내역!$J$5:$J$48,전체내역!$A$5:$A$48,"B2",전체내역!$D$5:$D$48,A6)</f>
        <v>120</v>
      </c>
      <c r="F6" s="53" t="n">
        <f aca="false">E6*전체내역!$B$2</f>
        <v>186000</v>
      </c>
      <c r="G6" s="72" t="s">
        <v>86</v>
      </c>
      <c r="H6" s="48" t="s">
        <v>127</v>
      </c>
    </row>
    <row r="7" customFormat="false" ht="15" hidden="false" customHeight="false" outlineLevel="0" collapsed="false">
      <c r="A7" s="58" t="s">
        <v>38</v>
      </c>
      <c r="B7" s="60" t="n">
        <v>20</v>
      </c>
      <c r="C7" s="61" t="n">
        <v>3</v>
      </c>
      <c r="D7" s="59" t="s">
        <v>88</v>
      </c>
      <c r="E7" s="62" t="n">
        <f aca="false">SUMIFS(전체내역!$J$5:$J$48,전체내역!$A$5:$A$48,"B2",전체내역!$D$5:$D$48,A7)</f>
        <v>60</v>
      </c>
      <c r="F7" s="63" t="n">
        <f aca="false">E7*전체내역!$B$2</f>
        <v>93000</v>
      </c>
      <c r="G7" s="73" t="s">
        <v>86</v>
      </c>
      <c r="H7" s="58" t="s">
        <v>139</v>
      </c>
    </row>
    <row r="8" customFormat="false" ht="15" hidden="false" customHeight="false" outlineLevel="0" collapsed="false">
      <c r="A8" s="48" t="s">
        <v>41</v>
      </c>
      <c r="B8" s="50" t="n">
        <v>20</v>
      </c>
      <c r="C8" s="51" t="n">
        <v>1</v>
      </c>
      <c r="D8" s="49" t="s">
        <v>93</v>
      </c>
      <c r="E8" s="52" t="n">
        <f aca="false">SUMIFS(전체내역!$J$5:$J$48,전체내역!$A$5:$A$48,"B2",전체내역!$D$5:$D$48,A8)</f>
        <v>20</v>
      </c>
      <c r="F8" s="53" t="n">
        <f aca="false">E8*전체내역!$B$2</f>
        <v>31000</v>
      </c>
      <c r="G8" s="72" t="s">
        <v>92</v>
      </c>
      <c r="H8" s="65" t="s">
        <v>140</v>
      </c>
    </row>
    <row r="9" customFormat="false" ht="15" hidden="false" customHeight="false" outlineLevel="0" collapsed="false">
      <c r="A9" s="74" t="s">
        <v>173</v>
      </c>
      <c r="B9" s="75"/>
      <c r="C9" s="75"/>
      <c r="D9" s="75"/>
      <c r="E9" s="76" t="n">
        <f aca="false">SUM(E6:E8)</f>
        <v>200</v>
      </c>
      <c r="F9" s="77" t="n">
        <f aca="false">SUM(F6:F8)</f>
        <v>310000</v>
      </c>
      <c r="G9" s="75"/>
      <c r="H9" s="75"/>
    </row>
    <row r="10" customFormat="false" ht="14.15" hidden="false" customHeight="false" outlineLevel="0" collapsed="false">
      <c r="A10" s="71" t="s">
        <v>174</v>
      </c>
      <c r="B10" s="71"/>
      <c r="C10" s="71"/>
      <c r="D10" s="71"/>
      <c r="E10" s="71"/>
      <c r="F10" s="71"/>
      <c r="G10" s="71"/>
      <c r="H10" s="71"/>
    </row>
    <row r="11" customFormat="false" ht="15" hidden="false" customHeight="false" outlineLevel="0" collapsed="false">
      <c r="A11" s="48" t="s">
        <v>141</v>
      </c>
      <c r="B11" s="50" t="n">
        <v>18</v>
      </c>
      <c r="C11" s="51" t="n">
        <v>1</v>
      </c>
      <c r="D11" s="49" t="s">
        <v>93</v>
      </c>
      <c r="E11" s="52" t="n">
        <f aca="false">SUMIFS(전체내역!$J$5:$J$48,전체내역!$A$5:$A$48,"B2",전체내역!$D$5:$D$48,A11)</f>
        <v>18</v>
      </c>
      <c r="F11" s="53" t="n">
        <f aca="false">E11*전체내역!$B$2</f>
        <v>27900</v>
      </c>
      <c r="G11" s="72" t="s">
        <v>92</v>
      </c>
      <c r="H11" s="65" t="s">
        <v>142</v>
      </c>
    </row>
    <row r="12" customFormat="false" ht="15" hidden="false" customHeight="false" outlineLevel="0" collapsed="false">
      <c r="A12" s="74" t="s">
        <v>175</v>
      </c>
      <c r="B12" s="75"/>
      <c r="C12" s="75"/>
      <c r="D12" s="75"/>
      <c r="E12" s="76" t="n">
        <f aca="false">SUM(E11:E11)</f>
        <v>18</v>
      </c>
      <c r="F12" s="77" t="n">
        <f aca="false">SUM(F11:F11)</f>
        <v>27900</v>
      </c>
      <c r="G12" s="75"/>
      <c r="H12" s="75"/>
    </row>
    <row r="13" customFormat="false" ht="15" hidden="false" customHeight="false" outlineLevel="0" collapsed="false">
      <c r="A13" s="78" t="s">
        <v>176</v>
      </c>
      <c r="B13" s="78"/>
      <c r="C13" s="78"/>
      <c r="D13" s="78"/>
      <c r="E13" s="78"/>
      <c r="F13" s="78"/>
      <c r="G13" s="78"/>
      <c r="H13" s="78"/>
    </row>
    <row r="14" customFormat="false" ht="15" hidden="false" customHeight="false" outlineLevel="0" collapsed="false">
      <c r="A14" s="48" t="s">
        <v>143</v>
      </c>
      <c r="B14" s="50" t="n">
        <v>0.0255</v>
      </c>
      <c r="C14" s="51" t="n">
        <v>300</v>
      </c>
      <c r="D14" s="49" t="s">
        <v>102</v>
      </c>
      <c r="E14" s="52" t="n">
        <f aca="false">SUMIFS(전체내역!$J$5:$J$48,전체내역!$A$5:$A$48,"B2",전체내역!$D$5:$D$48,A14)</f>
        <v>7.65</v>
      </c>
      <c r="F14" s="53" t="n">
        <f aca="false">E14*전체내역!$B$2</f>
        <v>11857.5</v>
      </c>
      <c r="G14" s="79" t="s">
        <v>177</v>
      </c>
      <c r="H14" s="65" t="s">
        <v>144</v>
      </c>
    </row>
    <row r="15" customFormat="false" ht="15" hidden="false" customHeight="false" outlineLevel="0" collapsed="false">
      <c r="A15" s="58" t="s">
        <v>146</v>
      </c>
      <c r="B15" s="60" t="n">
        <v>0.00875</v>
      </c>
      <c r="C15" s="61" t="n">
        <v>1500</v>
      </c>
      <c r="D15" s="59" t="s">
        <v>102</v>
      </c>
      <c r="E15" s="62" t="n">
        <f aca="false">SUMIFS(전체내역!$J$5:$J$48,전체내역!$A$5:$A$48,"B2",전체내역!$D$5:$D$48,A15)</f>
        <v>13.125</v>
      </c>
      <c r="F15" s="63" t="n">
        <f aca="false">E15*전체내역!$B$2</f>
        <v>20343.75</v>
      </c>
      <c r="G15" s="80" t="s">
        <v>177</v>
      </c>
      <c r="H15" s="67" t="s">
        <v>147</v>
      </c>
    </row>
    <row r="16" customFormat="false" ht="15" hidden="false" customHeight="false" outlineLevel="0" collapsed="false">
      <c r="A16" s="81" t="s">
        <v>178</v>
      </c>
      <c r="B16" s="75"/>
      <c r="C16" s="75"/>
      <c r="D16" s="75"/>
      <c r="E16" s="76" t="n">
        <f aca="false">SUM(E14:E15)</f>
        <v>20.775</v>
      </c>
      <c r="F16" s="77" t="n">
        <f aca="false">SUM(F14:F15)</f>
        <v>32201.25</v>
      </c>
      <c r="G16" s="75"/>
      <c r="H16" s="75"/>
    </row>
    <row r="17" customFormat="false" ht="15" hidden="false" customHeight="false" outlineLevel="0" collapsed="false">
      <c r="A17" s="71" t="s">
        <v>179</v>
      </c>
      <c r="B17" s="71"/>
      <c r="C17" s="71"/>
      <c r="D17" s="71"/>
      <c r="E17" s="71"/>
      <c r="F17" s="71"/>
      <c r="G17" s="71"/>
      <c r="H17" s="71"/>
    </row>
    <row r="18" customFormat="false" ht="15" hidden="false" customHeight="false" outlineLevel="0" collapsed="false">
      <c r="A18" s="48" t="s">
        <v>149</v>
      </c>
      <c r="B18" s="50" t="n">
        <v>0.039</v>
      </c>
      <c r="C18" s="51" t="n">
        <v>1500</v>
      </c>
      <c r="D18" s="49" t="s">
        <v>108</v>
      </c>
      <c r="E18" s="52" t="n">
        <f aca="false">SUMIFS(전체내역!$J$5:$J$48,전체내역!$A$5:$A$48,"B2",전체내역!$D$5:$D$48,A18)</f>
        <v>58.5</v>
      </c>
      <c r="F18" s="53" t="n">
        <f aca="false">E18*전체내역!$B$2</f>
        <v>90675</v>
      </c>
      <c r="G18" s="79" t="s">
        <v>177</v>
      </c>
      <c r="H18" s="65" t="s">
        <v>26</v>
      </c>
    </row>
    <row r="19" customFormat="false" ht="15" hidden="false" customHeight="false" outlineLevel="0" collapsed="false">
      <c r="A19" s="74" t="s">
        <v>180</v>
      </c>
      <c r="B19" s="75"/>
      <c r="C19" s="75"/>
      <c r="D19" s="75"/>
      <c r="E19" s="76" t="n">
        <f aca="false">SUM(E18:E18)</f>
        <v>58.5</v>
      </c>
      <c r="F19" s="77" t="n">
        <f aca="false">SUM(F18:F18)</f>
        <v>90675</v>
      </c>
      <c r="G19" s="75"/>
      <c r="H19" s="75"/>
    </row>
    <row r="20" customFormat="false" ht="15" hidden="false" customHeight="false" outlineLevel="0" collapsed="false">
      <c r="A20" s="82" t="s">
        <v>183</v>
      </c>
      <c r="B20" s="83"/>
      <c r="C20" s="83"/>
      <c r="D20" s="83"/>
      <c r="E20" s="84" t="n">
        <f aca="false">SUMIF(전체내역!$A$5:$A$48,"B2",전체내역!$J$5:$J$48)</f>
        <v>297.275</v>
      </c>
      <c r="F20" s="85" t="n">
        <f aca="false">SUMIF(전체내역!$A$5:$A$48,"B2",전체내역!$K$5:$K$48)</f>
        <v>460776.25</v>
      </c>
      <c r="G20" s="83"/>
      <c r="H20" s="83"/>
    </row>
  </sheetData>
  <mergeCells count="4">
    <mergeCell ref="A5:H5"/>
    <mergeCell ref="A10:H10"/>
    <mergeCell ref="A13:H13"/>
    <mergeCell ref="A17:H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69" t="s">
        <v>187</v>
      </c>
    </row>
    <row r="2" customFormat="false" ht="15" hidden="false" customHeight="false" outlineLevel="0" collapsed="false">
      <c r="A2" s="70" t="s">
        <v>167</v>
      </c>
    </row>
    <row r="4" customFormat="false" ht="15" hidden="false" customHeight="false" outlineLevel="0" collapsed="false">
      <c r="A4" s="11" t="s">
        <v>168</v>
      </c>
      <c r="B4" s="11" t="s">
        <v>169</v>
      </c>
      <c r="C4" s="11" t="s">
        <v>80</v>
      </c>
      <c r="D4" s="11" t="s">
        <v>81</v>
      </c>
      <c r="E4" s="11" t="s">
        <v>170</v>
      </c>
      <c r="F4" s="11" t="s">
        <v>171</v>
      </c>
      <c r="G4" s="11" t="s">
        <v>77</v>
      </c>
      <c r="H4" s="11" t="s">
        <v>33</v>
      </c>
    </row>
    <row r="5" customFormat="false" ht="15" hidden="false" customHeight="false" outlineLevel="0" collapsed="false">
      <c r="A5" s="71" t="s">
        <v>172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48" t="s">
        <v>34</v>
      </c>
      <c r="B6" s="50" t="n">
        <v>30</v>
      </c>
      <c r="C6" s="51" t="n">
        <v>4</v>
      </c>
      <c r="D6" s="49" t="s">
        <v>88</v>
      </c>
      <c r="E6" s="52" t="n">
        <f aca="false">SUMIFS(전체내역!$J$5:$J$48,전체내역!$A$5:$A$48,"C",전체내역!$D$5:$D$48,A6)</f>
        <v>120</v>
      </c>
      <c r="F6" s="53" t="n">
        <f aca="false">E6*전체내역!$B$2</f>
        <v>186000</v>
      </c>
      <c r="G6" s="72" t="s">
        <v>86</v>
      </c>
      <c r="H6" s="65" t="s">
        <v>150</v>
      </c>
    </row>
    <row r="7" customFormat="false" ht="15" hidden="false" customHeight="false" outlineLevel="0" collapsed="false">
      <c r="A7" s="58" t="s">
        <v>38</v>
      </c>
      <c r="B7" s="60" t="n">
        <v>20</v>
      </c>
      <c r="C7" s="61" t="n">
        <v>3</v>
      </c>
      <c r="D7" s="59" t="s">
        <v>88</v>
      </c>
      <c r="E7" s="62" t="n">
        <f aca="false">SUMIFS(전체내역!$J$5:$J$48,전체내역!$A$5:$A$48,"C",전체내역!$D$5:$D$48,A7)</f>
        <v>60</v>
      </c>
      <c r="F7" s="63" t="n">
        <f aca="false">E7*전체내역!$B$2</f>
        <v>93000</v>
      </c>
      <c r="G7" s="73" t="s">
        <v>86</v>
      </c>
      <c r="H7" s="58" t="s">
        <v>152</v>
      </c>
    </row>
    <row r="8" customFormat="false" ht="15" hidden="false" customHeight="false" outlineLevel="0" collapsed="false">
      <c r="A8" s="48" t="s">
        <v>41</v>
      </c>
      <c r="B8" s="50" t="n">
        <v>20</v>
      </c>
      <c r="C8" s="51" t="n">
        <v>1</v>
      </c>
      <c r="D8" s="49" t="s">
        <v>93</v>
      </c>
      <c r="E8" s="52" t="n">
        <f aca="false">SUMIFS(전체내역!$J$5:$J$48,전체내역!$A$5:$A$48,"C",전체내역!$D$5:$D$48,A8)</f>
        <v>20</v>
      </c>
      <c r="F8" s="53" t="n">
        <f aca="false">E8*전체내역!$B$2</f>
        <v>31000</v>
      </c>
      <c r="G8" s="72" t="s">
        <v>92</v>
      </c>
      <c r="H8" s="48" t="s">
        <v>154</v>
      </c>
    </row>
    <row r="9" customFormat="false" ht="15" hidden="false" customHeight="false" outlineLevel="0" collapsed="false">
      <c r="A9" s="58" t="s">
        <v>45</v>
      </c>
      <c r="B9" s="60" t="n">
        <v>6</v>
      </c>
      <c r="C9" s="61" t="n">
        <v>1</v>
      </c>
      <c r="D9" s="59" t="s">
        <v>93</v>
      </c>
      <c r="E9" s="62" t="n">
        <f aca="false">SUMIFS(전체내역!$J$5:$J$48,전체내역!$A$5:$A$48,"C",전체내역!$D$5:$D$48,A9)</f>
        <v>6</v>
      </c>
      <c r="F9" s="63" t="n">
        <f aca="false">E9*전체내역!$B$2</f>
        <v>9300</v>
      </c>
      <c r="G9" s="73" t="s">
        <v>188</v>
      </c>
      <c r="H9" s="67" t="s">
        <v>156</v>
      </c>
    </row>
    <row r="10" customFormat="false" ht="15" hidden="false" customHeight="false" outlineLevel="0" collapsed="false">
      <c r="A10" s="74" t="s">
        <v>173</v>
      </c>
      <c r="B10" s="75"/>
      <c r="C10" s="75"/>
      <c r="D10" s="75"/>
      <c r="E10" s="76" t="n">
        <f aca="false">SUM(E6:E9)</f>
        <v>206</v>
      </c>
      <c r="F10" s="77" t="n">
        <f aca="false">SUM(F6:F9)</f>
        <v>319300</v>
      </c>
      <c r="G10" s="75"/>
      <c r="H10" s="75"/>
    </row>
    <row r="11" customFormat="false" ht="14.15" hidden="false" customHeight="false" outlineLevel="0" collapsed="false">
      <c r="A11" s="71" t="s">
        <v>174</v>
      </c>
      <c r="B11" s="71"/>
      <c r="C11" s="71"/>
      <c r="D11" s="71"/>
      <c r="E11" s="71"/>
      <c r="F11" s="71"/>
      <c r="G11" s="71"/>
      <c r="H11" s="71"/>
    </row>
    <row r="12" customFormat="false" ht="15" hidden="false" customHeight="false" outlineLevel="0" collapsed="false">
      <c r="A12" s="48" t="s">
        <v>157</v>
      </c>
      <c r="B12" s="50" t="n">
        <v>20</v>
      </c>
      <c r="C12" s="51" t="n">
        <v>1</v>
      </c>
      <c r="D12" s="49" t="s">
        <v>93</v>
      </c>
      <c r="E12" s="52" t="n">
        <f aca="false">SUMIFS(전체내역!$J$5:$J$48,전체내역!$A$5:$A$48,"C",전체내역!$D$5:$D$48,A12)</f>
        <v>20</v>
      </c>
      <c r="F12" s="53" t="n">
        <f aca="false">E12*전체내역!$B$2</f>
        <v>31000</v>
      </c>
      <c r="G12" s="72" t="s">
        <v>92</v>
      </c>
      <c r="H12" s="48" t="s">
        <v>158</v>
      </c>
    </row>
    <row r="13" customFormat="false" ht="15" hidden="false" customHeight="false" outlineLevel="0" collapsed="false">
      <c r="A13" s="74" t="s">
        <v>175</v>
      </c>
      <c r="B13" s="75"/>
      <c r="C13" s="75"/>
      <c r="D13" s="75"/>
      <c r="E13" s="76" t="n">
        <f aca="false">SUM(E12:E12)</f>
        <v>20</v>
      </c>
      <c r="F13" s="77" t="n">
        <f aca="false">SUM(F12:F12)</f>
        <v>31000</v>
      </c>
      <c r="G13" s="75"/>
      <c r="H13" s="75"/>
    </row>
    <row r="14" customFormat="false" ht="14.15" hidden="false" customHeight="false" outlineLevel="0" collapsed="false">
      <c r="A14" s="78" t="s">
        <v>189</v>
      </c>
      <c r="B14" s="78"/>
      <c r="C14" s="78"/>
      <c r="D14" s="78"/>
      <c r="E14" s="78"/>
      <c r="F14" s="78"/>
      <c r="G14" s="78"/>
      <c r="H14" s="78"/>
    </row>
    <row r="15" customFormat="false" ht="15" hidden="false" customHeight="false" outlineLevel="0" collapsed="false">
      <c r="A15" s="48" t="s">
        <v>160</v>
      </c>
      <c r="B15" s="50" t="n">
        <v>0.03</v>
      </c>
      <c r="C15" s="51" t="n">
        <v>300</v>
      </c>
      <c r="D15" s="49" t="s">
        <v>102</v>
      </c>
      <c r="E15" s="52" t="n">
        <f aca="false">SUMIFS(전체내역!$J$5:$J$48,전체내역!$A$5:$A$48,"C",전체내역!$D$5:$D$48,A15)</f>
        <v>9</v>
      </c>
      <c r="F15" s="53" t="n">
        <f aca="false">E15*전체내역!$B$2</f>
        <v>13950</v>
      </c>
      <c r="G15" s="79" t="s">
        <v>177</v>
      </c>
      <c r="H15" s="48" t="s">
        <v>161</v>
      </c>
    </row>
    <row r="16" customFormat="false" ht="15" hidden="false" customHeight="false" outlineLevel="0" collapsed="false">
      <c r="A16" s="58" t="s">
        <v>70</v>
      </c>
      <c r="B16" s="60" t="n">
        <v>0.0175</v>
      </c>
      <c r="C16" s="61" t="n">
        <v>300</v>
      </c>
      <c r="D16" s="59" t="s">
        <v>102</v>
      </c>
      <c r="E16" s="62" t="n">
        <f aca="false">SUMIFS(전체내역!$J$5:$J$48,전체내역!$A$5:$A$48,"C",전체내역!$D$5:$D$48,A16)</f>
        <v>5.25</v>
      </c>
      <c r="F16" s="63" t="n">
        <f aca="false">E16*전체내역!$B$2</f>
        <v>8137.5</v>
      </c>
      <c r="G16" s="80" t="s">
        <v>177</v>
      </c>
      <c r="H16" s="67" t="s">
        <v>163</v>
      </c>
    </row>
    <row r="17" customFormat="false" ht="15" hidden="false" customHeight="false" outlineLevel="0" collapsed="false">
      <c r="A17" s="81" t="s">
        <v>190</v>
      </c>
      <c r="B17" s="75"/>
      <c r="C17" s="75"/>
      <c r="D17" s="75"/>
      <c r="E17" s="76" t="n">
        <f aca="false">SUM(E15:E16)</f>
        <v>14.25</v>
      </c>
      <c r="F17" s="77" t="n">
        <f aca="false">SUM(F15:F16)</f>
        <v>22087.5</v>
      </c>
      <c r="G17" s="75"/>
      <c r="H17" s="75"/>
    </row>
    <row r="18" customFormat="false" ht="15" hidden="false" customHeight="false" outlineLevel="0" collapsed="false">
      <c r="A18" s="82" t="s">
        <v>183</v>
      </c>
      <c r="B18" s="83"/>
      <c r="C18" s="83"/>
      <c r="D18" s="83"/>
      <c r="E18" s="84" t="n">
        <f aca="false">SUMIF(전체내역!$A$5:$A$48,"C",전체내역!$J$5:$J$48)</f>
        <v>240.25</v>
      </c>
      <c r="F18" s="85" t="n">
        <f aca="false">SUMIF(전체내역!$A$5:$A$48,"C",전체내역!$K$5:$K$48)</f>
        <v>372387.5</v>
      </c>
      <c r="G18" s="83"/>
      <c r="H18" s="83"/>
    </row>
  </sheetData>
  <mergeCells count="3">
    <mergeCell ref="A5:H5"/>
    <mergeCell ref="A11:H11"/>
    <mergeCell ref="A14:H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2026-07-01T06:34:59Z</dcterms:created>
  <dc:creator>openpyxl</dc:creator>
  <dc:description/>
  <dc:language>en-US</dc:language>
  <cp:lastModifiedBy/>
  <dcterms:modified xsi:type="dcterms:W3CDTF">2026-07-01T06:34:59Z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